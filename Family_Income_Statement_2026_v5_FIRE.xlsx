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Income Statement" sheetId="2" state="visible" r:id="rId2"/>
    <sheet name="CC Detail" sheetId="3" state="visible" r:id="rId3"/>
    <sheet name="Solar ROI" sheetId="4" state="visible" r:id="rId4"/>
    <sheet name="Balances" sheetId="5" state="visible" r:id="rId5"/>
    <sheet name="Comp &amp; Benefits" sheetId="6" state="visible" r:id="rId6"/>
    <sheet name="Scenarios" sheetId="7" state="visible" r:id="rId7"/>
    <sheet name="Charts" sheetId="8" state="visible" r:id="rId8"/>
    <sheet name="Imports - Checking" sheetId="9" state="visible" r:id="rId9"/>
    <sheet name="Imports - Savings" sheetId="10" state="visible" r:id="rId10"/>
    <sheet name="Imports - Barclay" sheetId="11" state="visible" r:id="rId11"/>
    <sheet name="Rules" sheetId="12" state="visible" r:id="rId12"/>
    <sheet name="Pension - Sue" sheetId="13" state="visible" r:id="rId13"/>
    <sheet name="FIRE Dashboard" sheetId="14" state="visible" r:id="rId14"/>
    <sheet name="Amazon Reconciliation" sheetId="15" state="visible" r:id="rId15"/>
    <sheet name="Solar Reinvestment" sheetId="16" state="visible" r:id="rId16"/>
    <sheet name="HSA Election Planner" sheetId="17" state="visible" r:id="rId17"/>
    <sheet name="Monthly Entry" sheetId="18" state="visible" r:id="rId18"/>
  </sheets>
  <definedNames/>
  <calcPr calcId="124519" fullCalcOnLoad="1"/>
</workbook>
</file>

<file path=xl/styles.xml><?xml version="1.0" encoding="utf-8"?>
<styleSheet xmlns="http://schemas.openxmlformats.org/spreadsheetml/2006/main">
  <numFmts count="6">
    <numFmt numFmtId="164" formatCode="_(\$* #,##0_);_(\$* \(#,##0\);_(\$* &quot;-&quot;??_);_(@_)"/>
    <numFmt numFmtId="165" formatCode="0.0"/>
    <numFmt numFmtId="166" formatCode="0.0%"/>
    <numFmt numFmtId="167" formatCode="m/d/yyyy"/>
    <numFmt numFmtId="168" formatCode="$#,##0"/>
    <numFmt numFmtId="169" formatCode="$0.000"/>
  </numFmts>
  <fonts count="18">
    <font>
      <name val="Calibri"/>
      <color theme="1"/>
      <sz val="11"/>
      <scheme val="minor"/>
    </font>
    <font>
      <name val="Calibri"/>
      <b val="1"/>
      <color rgb="FF1F4E78"/>
      <sz val="16"/>
    </font>
    <font>
      <name val="Calibri"/>
      <color theme="1"/>
      <scheme val="minor"/>
    </font>
    <font>
      <name val="Calibri"/>
      <i val="1"/>
      <color rgb="FF808080"/>
      <sz val="9"/>
    </font>
    <font>
      <name val="Calibri"/>
      <b val="1"/>
      <color rgb="FFFFFFFF"/>
      <sz val="11"/>
    </font>
    <font>
      <name val="Calibri"/>
      <b val="1"/>
      <color rgb="FF1F4E78"/>
      <sz val="11"/>
    </font>
    <font>
      <name val="Calibri"/>
      <color theme="1"/>
      <sz val="11"/>
    </font>
    <font>
      <name val="Calibri"/>
      <b val="1"/>
      <color theme="1"/>
      <sz val="11"/>
    </font>
    <font>
      <name val="Calibri"/>
      <b val="1"/>
      <color rgb="FF1F4E78"/>
      <sz val="14"/>
    </font>
    <font>
      <name val="Calibri"/>
      <b val="1"/>
      <color theme="1"/>
      <scheme val="minor"/>
    </font>
    <font>
      <name val="&quot;Aptos Narrow&quot;"/>
      <color rgb="FF000000"/>
      <sz val="11"/>
    </font>
    <font>
      <name val="Arial"/>
      <color rgb="FF000000"/>
      <sz val="11"/>
    </font>
    <font>
      <b val="1"/>
      <color rgb="001F4E79"/>
      <sz val="14"/>
    </font>
    <font>
      <i val="1"/>
      <color rgb="00595959"/>
      <sz val="9"/>
    </font>
    <font>
      <b val="1"/>
      <color rgb="00FFFFFF"/>
      <sz val="11"/>
    </font>
    <font>
      <i val="1"/>
      <color rgb="00808080"/>
      <sz val="9"/>
    </font>
    <font>
      <b val="1"/>
    </font>
    <font>
      <b val="1"/>
      <color rgb="001F4E79"/>
      <sz val="11"/>
    </font>
  </fonts>
  <fills count="14">
    <fill>
      <patternFill/>
    </fill>
    <fill>
      <patternFill patternType="lightGray"/>
    </fill>
    <fill>
      <patternFill patternType="solid">
        <fgColor rgb="FF1F4E78"/>
        <bgColor rgb="FF1F4E78"/>
      </patternFill>
    </fill>
    <fill>
      <patternFill patternType="solid">
        <fgColor rgb="FFBDD7EE"/>
        <bgColor rgb="FFBDD7EE"/>
      </patternFill>
    </fill>
    <fill>
      <patternFill patternType="solid">
        <fgColor rgb="FFFFF2CC"/>
        <bgColor rgb="FFFFF2CC"/>
      </patternFill>
    </fill>
    <fill>
      <patternFill patternType="solid">
        <fgColor rgb="FFDDEBF7"/>
        <bgColor rgb="FFDDEBF7"/>
      </patternFill>
    </fill>
    <fill>
      <patternFill patternType="solid">
        <fgColor rgb="FFFCE4D6"/>
        <bgColor rgb="FFFCE4D6"/>
      </patternFill>
    </fill>
    <fill>
      <patternFill patternType="solid">
        <fgColor rgb="FFE2F0D9"/>
        <bgColor rgb="FFE2F0D9"/>
      </patternFill>
    </fill>
    <fill>
      <patternFill patternType="solid">
        <fgColor rgb="002F5496"/>
      </patternFill>
    </fill>
    <fill>
      <patternFill patternType="solid">
        <fgColor rgb="00FFE699"/>
      </patternFill>
    </fill>
    <fill>
      <patternFill patternType="solid">
        <fgColor rgb="00F8CBAD"/>
      </patternFill>
    </fill>
    <fill>
      <patternFill patternType="solid">
        <fgColor rgb="00E2EFDA"/>
      </patternFill>
    </fill>
    <fill>
      <patternFill patternType="solid">
        <fgColor rgb="008EA9DB"/>
      </patternFill>
    </fill>
    <fill>
      <patternFill patternType="solid">
        <fgColor rgb="00D9E1F2"/>
      </patternFill>
    </fill>
  </fills>
  <borders count="4">
    <border/>
    <border>
      <left style="thin">
        <color rgb="FFB4B4B4"/>
      </left>
      <right style="thin">
        <color rgb="FFB4B4B4"/>
      </right>
      <top style="thin">
        <color rgb="FFB4B4B4"/>
      </top>
      <bottom style="thin">
        <color rgb="FFB4B4B4"/>
      </bottom>
    </border>
    <border>
      <left/>
      <right/>
      <top/>
      <bottom/>
    </border>
    <border>
      <left style="thin">
        <color rgb="00BFBFBF"/>
      </left>
      <right style="thin">
        <color rgb="00BFBFBF"/>
      </right>
      <top style="thin">
        <color rgb="00BFBFBF"/>
      </top>
      <bottom style="thin">
        <color rgb="00BFBFBF"/>
      </bottom>
    </border>
  </borders>
  <cellStyleXfs count="1">
    <xf numFmtId="0" fontId="0" fillId="0" borderId="0"/>
  </cellStyleXfs>
  <cellXfs count="95">
    <xf numFmtId="0" fontId="0" fillId="0" borderId="0" applyAlignment="1" pivotButton="0" quotePrefix="0" xfId="0">
      <alignment vertical="bottom"/>
    </xf>
    <xf numFmtId="0" fontId="1" fillId="0" borderId="0" pivotButton="0" quotePrefix="0" xfId="0"/>
    <xf numFmtId="0" fontId="2" fillId="0" borderId="0" pivotButton="0" quotePrefix="0" xfId="0"/>
    <xf numFmtId="0" fontId="1" fillId="0" borderId="0" applyAlignment="1" pivotButton="0" quotePrefix="0" xfId="0">
      <alignment horizontal="right"/>
    </xf>
    <xf numFmtId="0" fontId="3" fillId="0" borderId="0" pivotButton="0" quotePrefix="0" xfId="0"/>
    <xf numFmtId="0" fontId="4" fillId="2" borderId="1" applyAlignment="1" pivotButton="0" quotePrefix="0" xfId="0">
      <alignment horizontal="center"/>
    </xf>
    <xf numFmtId="0" fontId="5" fillId="3" borderId="2" pivotButton="0" quotePrefix="0" xfId="0"/>
    <xf numFmtId="164" fontId="6" fillId="4" borderId="2" pivotButton="0" quotePrefix="0" xfId="0"/>
    <xf numFmtId="164" fontId="6" fillId="4" borderId="2" pivotButton="0" quotePrefix="0" xfId="0"/>
    <xf numFmtId="164" fontId="6" fillId="0" borderId="0" pivotButton="0" quotePrefix="0" xfId="0"/>
    <xf numFmtId="0" fontId="2" fillId="0" borderId="0" pivotButton="0" quotePrefix="0" xfId="0"/>
    <xf numFmtId="0" fontId="7" fillId="5" borderId="1" pivotButton="0" quotePrefix="0" xfId="0"/>
    <xf numFmtId="164" fontId="7" fillId="5" borderId="1" pivotButton="0" quotePrefix="0" xfId="0"/>
    <xf numFmtId="164" fontId="7" fillId="5" borderId="1" pivotButton="0" quotePrefix="0" xfId="0"/>
    <xf numFmtId="0" fontId="5" fillId="3" borderId="2" pivotButton="0" quotePrefix="0" xfId="0"/>
    <xf numFmtId="164" fontId="6" fillId="0" borderId="0" pivotButton="0" quotePrefix="0" xfId="0"/>
    <xf numFmtId="0" fontId="8" fillId="0" borderId="0" pivotButton="0" quotePrefix="0" xfId="0"/>
    <xf numFmtId="0" fontId="5" fillId="0" borderId="0" pivotButton="0" quotePrefix="0" xfId="0"/>
    <xf numFmtId="165" fontId="6" fillId="0" borderId="0" pivotButton="0" quotePrefix="0" xfId="0"/>
    <xf numFmtId="166" fontId="6" fillId="0" borderId="0" pivotButton="0" quotePrefix="0" xfId="0"/>
    <xf numFmtId="9" fontId="6" fillId="0" borderId="0" pivotButton="0" quotePrefix="0" xfId="0"/>
    <xf numFmtId="9" fontId="6" fillId="0" borderId="0" pivotButton="0" quotePrefix="0" xfId="0"/>
    <xf numFmtId="166" fontId="6" fillId="6" borderId="2" pivotButton="0" quotePrefix="0" xfId="0"/>
    <xf numFmtId="0" fontId="6" fillId="6" borderId="2" pivotButton="0" quotePrefix="0" xfId="0"/>
    <xf numFmtId="164" fontId="6" fillId="6" borderId="2" pivotButton="0" quotePrefix="0" xfId="0"/>
    <xf numFmtId="10" fontId="6" fillId="6" borderId="2" pivotButton="0" quotePrefix="0" xfId="0"/>
    <xf numFmtId="0" fontId="6" fillId="6" borderId="2" pivotButton="0" quotePrefix="0" xfId="0"/>
    <xf numFmtId="164" fontId="6" fillId="6" borderId="2" pivotButton="0" quotePrefix="0" xfId="0"/>
    <xf numFmtId="0" fontId="4" fillId="2" borderId="1" applyAlignment="1" pivotButton="0" quotePrefix="0" xfId="0">
      <alignment horizontal="center" vertical="center"/>
    </xf>
    <xf numFmtId="0" fontId="4" fillId="2" borderId="1" applyAlignment="1" pivotButton="0" quotePrefix="0" xfId="0">
      <alignment horizontal="center" vertical="center" wrapText="1"/>
    </xf>
    <xf numFmtId="0" fontId="9" fillId="0" borderId="0" pivotButton="0" quotePrefix="0" xfId="0"/>
    <xf numFmtId="164" fontId="2" fillId="0" borderId="0" pivotButton="0" quotePrefix="0" xfId="0"/>
    <xf numFmtId="0" fontId="10" fillId="0" borderId="0" applyAlignment="1" pivotButton="0" quotePrefix="0" xfId="0">
      <alignment horizontal="right" vertical="bottom"/>
    </xf>
    <xf numFmtId="0" fontId="10" fillId="0" borderId="0" applyAlignment="1" pivotButton="0" quotePrefix="0" xfId="0">
      <alignment vertical="bottom"/>
    </xf>
    <xf numFmtId="167" fontId="10" fillId="0" borderId="0" applyAlignment="1" pivotButton="0" quotePrefix="0" xfId="0">
      <alignment horizontal="right" vertical="bottom"/>
    </xf>
    <xf numFmtId="0" fontId="11" fillId="0" borderId="0" applyAlignment="1" pivotButton="0" quotePrefix="0" xfId="0">
      <alignment vertical="bottom"/>
    </xf>
    <xf numFmtId="0" fontId="10" fillId="0" borderId="0" applyAlignment="1" pivotButton="0" quotePrefix="0" xfId="0">
      <alignment horizontal="center" vertical="bottom"/>
    </xf>
    <xf numFmtId="0" fontId="6" fillId="7" borderId="2" pivotButton="0" quotePrefix="0" xfId="0"/>
    <xf numFmtId="0" fontId="6" fillId="7" borderId="2" pivotButton="0" quotePrefix="0" xfId="0"/>
    <xf numFmtId="0" fontId="0" fillId="0" borderId="0" pivotButton="0" quotePrefix="0" xfId="0"/>
    <xf numFmtId="164" fontId="6" fillId="10" borderId="2" pivotButton="0" quotePrefix="0" xfId="0"/>
    <xf numFmtId="0" fontId="15" fillId="0" borderId="0" applyAlignment="1" pivotButton="0" quotePrefix="0" xfId="0">
      <alignment vertical="center" wrapText="1"/>
    </xf>
    <xf numFmtId="0" fontId="12" fillId="0" borderId="0" pivotButton="0" quotePrefix="0" xfId="0"/>
    <xf numFmtId="0" fontId="13" fillId="0" borderId="0" applyAlignment="1" pivotButton="0" quotePrefix="0" xfId="0">
      <alignment vertical="center" wrapText="1"/>
    </xf>
    <xf numFmtId="0" fontId="14" fillId="8" borderId="0" pivotButton="0" quotePrefix="0" xfId="0"/>
    <xf numFmtId="0" fontId="0" fillId="8" borderId="0" pivotButton="0" quotePrefix="0" xfId="0"/>
    <xf numFmtId="0" fontId="0" fillId="9" borderId="0" applyAlignment="1" pivotButton="0" quotePrefix="0" xfId="0">
      <alignment horizontal="center" vertical="center"/>
    </xf>
    <xf numFmtId="0" fontId="15" fillId="0" borderId="0" pivotButton="0" quotePrefix="0" xfId="0"/>
    <xf numFmtId="165" fontId="0" fillId="9" borderId="0" applyAlignment="1" pivotButton="0" quotePrefix="0" xfId="0">
      <alignment horizontal="center" vertical="center"/>
    </xf>
    <xf numFmtId="0" fontId="0" fillId="10" borderId="0" applyAlignment="1" pivotButton="0" quotePrefix="0" xfId="0">
      <alignment horizontal="center" vertical="center"/>
    </xf>
    <xf numFmtId="168" fontId="0" fillId="10" borderId="0" pivotButton="0" quotePrefix="0" xfId="0"/>
    <xf numFmtId="166" fontId="0" fillId="10" borderId="0" pivotButton="0" quotePrefix="0" xfId="0"/>
    <xf numFmtId="165" fontId="0" fillId="10" borderId="0" applyAlignment="1" pivotButton="0" quotePrefix="0" xfId="0">
      <alignment horizontal="center" vertical="center"/>
    </xf>
    <xf numFmtId="0" fontId="16" fillId="12" borderId="3" applyAlignment="1" pivotButton="0" quotePrefix="0" xfId="0">
      <alignment horizontal="center" vertical="center"/>
    </xf>
    <xf numFmtId="0" fontId="0" fillId="11" borderId="0" applyAlignment="1" pivotButton="0" quotePrefix="0" xfId="0">
      <alignment horizontal="center" vertical="center"/>
    </xf>
    <xf numFmtId="0" fontId="0" fillId="0" borderId="3" applyAlignment="1" pivotButton="0" quotePrefix="0" xfId="0">
      <alignment horizontal="center" vertical="center"/>
    </xf>
    <xf numFmtId="166" fontId="0" fillId="0" borderId="3" applyAlignment="1" pivotButton="0" quotePrefix="0" xfId="0">
      <alignment horizontal="center" vertical="center"/>
    </xf>
    <xf numFmtId="166" fontId="0" fillId="11" borderId="0" applyAlignment="1" pivotButton="0" quotePrefix="0" xfId="0">
      <alignment horizontal="center" vertical="center"/>
    </xf>
    <xf numFmtId="165" fontId="0" fillId="13" borderId="0" applyAlignment="1" pivotButton="0" quotePrefix="0" xfId="0">
      <alignment horizontal="center" vertical="center"/>
    </xf>
    <xf numFmtId="166" fontId="0" fillId="13" borderId="0" applyAlignment="1" pivotButton="0" quotePrefix="0" xfId="0">
      <alignment horizontal="center" vertical="center"/>
    </xf>
    <xf numFmtId="168" fontId="0" fillId="13" borderId="0" pivotButton="0" quotePrefix="0" xfId="0"/>
    <xf numFmtId="0" fontId="0" fillId="13" borderId="0" applyAlignment="1" pivotButton="0" quotePrefix="0" xfId="0">
      <alignment horizontal="center" vertical="center"/>
    </xf>
    <xf numFmtId="166" fontId="16" fillId="13" borderId="0" applyAlignment="1" pivotButton="0" quotePrefix="0" xfId="0">
      <alignment horizontal="center" vertical="center"/>
    </xf>
    <xf numFmtId="0" fontId="16" fillId="0" borderId="0" pivotButton="0" quotePrefix="0" xfId="0"/>
    <xf numFmtId="168" fontId="17" fillId="13" borderId="0" pivotButton="0" quotePrefix="0" xfId="0"/>
    <xf numFmtId="0" fontId="16" fillId="12" borderId="3" applyAlignment="1" pivotButton="0" quotePrefix="0" xfId="0">
      <alignment horizontal="center" vertical="center" wrapText="1"/>
    </xf>
    <xf numFmtId="165" fontId="0" fillId="0" borderId="3" applyAlignment="1" pivotButton="0" quotePrefix="0" xfId="0">
      <alignment horizontal="center" vertical="center"/>
    </xf>
    <xf numFmtId="166" fontId="16" fillId="0" borderId="3" applyAlignment="1" pivotButton="0" quotePrefix="0" xfId="0">
      <alignment horizontal="center" vertical="center"/>
    </xf>
    <xf numFmtId="168" fontId="0" fillId="0" borderId="3" pivotButton="0" quotePrefix="0" xfId="0"/>
    <xf numFmtId="0" fontId="16" fillId="13" borderId="0" applyAlignment="1" pivotButton="0" quotePrefix="0" xfId="0">
      <alignment horizontal="center" vertical="center"/>
    </xf>
    <xf numFmtId="166" fontId="0" fillId="10" borderId="0" applyAlignment="1" pivotButton="0" quotePrefix="0" xfId="0">
      <alignment horizontal="center" vertical="center"/>
    </xf>
    <xf numFmtId="10" fontId="0" fillId="11" borderId="0" applyAlignment="1" pivotButton="0" quotePrefix="0" xfId="0">
      <alignment horizontal="center" vertical="center"/>
    </xf>
    <xf numFmtId="168" fontId="0" fillId="9" borderId="0" pivotButton="0" quotePrefix="0" xfId="0"/>
    <xf numFmtId="168" fontId="0" fillId="11" borderId="0" pivotButton="0" quotePrefix="0" xfId="0"/>
    <xf numFmtId="166" fontId="17" fillId="13" borderId="0" applyAlignment="1" pivotButton="0" quotePrefix="0" xfId="0">
      <alignment horizontal="center" vertical="center"/>
    </xf>
    <xf numFmtId="165" fontId="17" fillId="13" borderId="0" applyAlignment="1" pivotButton="0" quotePrefix="0" xfId="0">
      <alignment horizontal="center" vertical="center"/>
    </xf>
    <xf numFmtId="165" fontId="0" fillId="11" borderId="0" applyAlignment="1" pivotButton="0" quotePrefix="0" xfId="0">
      <alignment horizontal="center" vertical="center"/>
    </xf>
    <xf numFmtId="1" fontId="0" fillId="11" borderId="0" applyAlignment="1" pivotButton="0" quotePrefix="0" xfId="0">
      <alignment horizontal="center" vertical="center"/>
    </xf>
    <xf numFmtId="0" fontId="15" fillId="11" borderId="0" applyAlignment="1" pivotButton="0" quotePrefix="0" xfId="0">
      <alignment vertical="center" wrapText="1"/>
    </xf>
    <xf numFmtId="0" fontId="16" fillId="12" borderId="3" pivotButton="0" quotePrefix="0" xfId="0"/>
    <xf numFmtId="0" fontId="16" fillId="0" borderId="3" pivotButton="0" quotePrefix="0" xfId="0"/>
    <xf numFmtId="168" fontId="0" fillId="11" borderId="3" pivotButton="0" quotePrefix="0" xfId="0"/>
    <xf numFmtId="168" fontId="16" fillId="13" borderId="3" pivotButton="0" quotePrefix="0" xfId="0"/>
    <xf numFmtId="0" fontId="0" fillId="0" borderId="3" pivotButton="0" quotePrefix="0" xfId="0"/>
    <xf numFmtId="168" fontId="0" fillId="10" borderId="3" pivotButton="0" quotePrefix="0" xfId="0"/>
    <xf numFmtId="168" fontId="16" fillId="11" borderId="3" pivotButton="0" quotePrefix="0" xfId="0"/>
    <xf numFmtId="3" fontId="0" fillId="10" borderId="3" pivotButton="0" quotePrefix="0" xfId="0"/>
    <xf numFmtId="3" fontId="0" fillId="11" borderId="3" pivotButton="0" quotePrefix="0" xfId="0"/>
    <xf numFmtId="3" fontId="16" fillId="11" borderId="3" pivotButton="0" quotePrefix="0" xfId="0"/>
    <xf numFmtId="168" fontId="16" fillId="13" borderId="0" pivotButton="0" quotePrefix="0" xfId="0"/>
    <xf numFmtId="169" fontId="0" fillId="10" borderId="0" pivotButton="0" quotePrefix="0" xfId="0"/>
    <xf numFmtId="3" fontId="0" fillId="10" borderId="0" pivotButton="0" quotePrefix="0" xfId="0"/>
    <xf numFmtId="1" fontId="0" fillId="0" borderId="3" applyAlignment="1" pivotButton="0" quotePrefix="0" xfId="0">
      <alignment horizontal="center" vertical="center"/>
    </xf>
    <xf numFmtId="166" fontId="0" fillId="11" borderId="0" pivotButton="0" quotePrefix="0" xfId="0"/>
    <xf numFmtId="0" fontId="0" fillId="10" borderId="0" pivotButton="0" quotePrefix="0" xfId="0"/>
  </cellXfs>
  <cellStyles count="1">
    <cellStyle name="Normal" xfId="0" builtinId="0"/>
  </cellStyles>
  <dxfs count="3">
    <dxf>
      <font>
        <b val="1"/>
        <color rgb="FF2E7D32"/>
      </font>
      <fill>
        <patternFill/>
      </fill>
      <border/>
    </dxf>
    <dxf>
      <font>
        <b val="1"/>
        <color rgb="FFC00000"/>
      </font>
      <fill>
        <patternFill/>
      </fill>
      <border/>
    </dxf>
    <dxf>
      <font>
        <color rgb="009C0006"/>
      </font>
      <fill>
        <patternFill patternType="solid">
          <f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Monthly Cash Flow</a:t>
            </a:r>
          </a:p>
        </rich>
      </tx>
      <overlay val="0"/>
    </title>
    <plotArea>
      <layout/>
      <barChart>
        <barDir val="col"/>
        <grouping val="clustered"/>
        <ser>
          <idx val="0"/>
          <order val="0"/>
          <spPr>
            <a:solidFill>
              <a:srgbClr val="2E7D32"/>
            </a:solidFill>
            <a:ln cmpd="sng">
              <a:noFill/>
              <a:prstDash val="solid"/>
            </a:ln>
          </spPr>
          <cat>
            <strRef>
              <f>Charts!$A$5:$A$8</f>
            </strRef>
          </cat>
          <val>
            <numRef>
              <f>Charts!$B$5:$B$8</f>
              <numCache/>
            </numRef>
          </val>
        </ser>
        <ser>
          <idx val="1"/>
          <order val="1"/>
          <spPr>
            <a:solidFill>
              <a:srgbClr val="C00000"/>
            </a:solidFill>
            <a:ln cmpd="sng">
              <a:noFill/>
              <a:prstDash val="solid"/>
            </a:ln>
          </spPr>
          <cat>
            <strRef>
              <f>Charts!$A$5:$A$8</f>
            </strRef>
          </cat>
          <val>
            <numRef>
              <f>Charts!$C$5:$C$8</f>
              <numCache/>
            </numRef>
          </val>
        </ser>
        <gapWidth val="150"/>
        <axId val="1585165011"/>
        <axId val="1065133208"/>
      </barChart>
      <lineChart>
        <grouping val="standard"/>
        <ser>
          <idx val="2"/>
          <order val="2"/>
          <spPr>
            <a:ln w="28575" cmpd="sng">
              <a:solidFill>
                <a:srgbClr val="1F4E78"/>
              </a:solidFill>
              <a:prstDash val="solid"/>
            </a:ln>
          </spPr>
          <marker>
            <symbol val="none"/>
            <spPr>
              <a:ln>
                <a:prstDash val="solid"/>
              </a:ln>
            </spPr>
          </marker>
          <cat>
            <strRef>
              <f>Charts!$A$5:$A$8</f>
            </strRef>
          </cat>
          <val>
            <numRef>
              <f>Charts!$D$5:$D$8</f>
              <numCache/>
            </numRef>
          </val>
          <smooth val="0"/>
        </ser>
        <ser>
          <idx val="3"/>
          <order val="3"/>
          <spPr>
            <a:ln cmpd="sng">
              <a:solidFill>
                <a:srgbClr val="8064A2"/>
              </a:solidFill>
              <a:prstDash val="solid"/>
            </a:ln>
          </spPr>
          <marker>
            <symbol val="none"/>
            <spPr>
              <a:ln>
                <a:prstDash val="solid"/>
              </a:ln>
            </spPr>
          </marker>
          <cat>
            <strRef>
              <f>Charts!$A$5:$A$8</f>
            </strRef>
          </cat>
          <val>
            <numRef>
              <f>Charts!$E$5:$E$8</f>
              <numCache/>
            </numRef>
          </val>
          <smooth val="0"/>
        </ser>
        <ser>
          <idx val="4"/>
          <order val="4"/>
          <spPr>
            <a:ln cmpd="sng">
              <a:solidFill>
                <a:srgbClr val="4BACC6"/>
              </a:solidFill>
              <a:prstDash val="solid"/>
            </a:ln>
          </spPr>
          <marker>
            <symbol val="none"/>
            <spPr>
              <a:ln>
                <a:prstDash val="solid"/>
              </a:ln>
            </spPr>
          </marker>
          <cat>
            <strRef>
              <f>Charts!$A$5:$A$8</f>
            </strRef>
          </cat>
          <val>
            <numRef>
              <f>Charts!$F$5:$F$8</f>
              <numCache/>
            </numRef>
          </val>
          <smooth val="0"/>
        </ser>
        <ser>
          <idx val="5"/>
          <order val="5"/>
          <spPr>
            <a:ln cmpd="sng">
              <a:solidFill>
                <a:srgbClr val="F79646"/>
              </a:solidFill>
              <a:prstDash val="solid"/>
            </a:ln>
          </spPr>
          <marker>
            <symbol val="none"/>
            <spPr>
              <a:ln>
                <a:prstDash val="solid"/>
              </a:ln>
            </spPr>
          </marker>
          <cat>
            <strRef>
              <f>Charts!$A$5:$A$8</f>
            </strRef>
          </cat>
          <val>
            <numRef>
              <f>Charts!$G$5:$G$8</f>
              <numCache/>
            </numRef>
          </val>
          <smooth val="0"/>
        </ser>
        <ser>
          <idx val="6"/>
          <order val="6"/>
          <spPr>
            <a:ln cmpd="sng">
              <a:solidFill>
                <a:srgbClr val="84A7D1"/>
              </a:solidFill>
              <a:prstDash val="solid"/>
            </a:ln>
          </spPr>
          <marker>
            <symbol val="none"/>
            <spPr>
              <a:ln>
                <a:prstDash val="solid"/>
              </a:ln>
            </spPr>
          </marker>
          <cat>
            <strRef>
              <f>Charts!$A$5:$A$8</f>
            </strRef>
          </cat>
          <val>
            <numRef>
              <f>Charts!$H$5:$H$8</f>
              <numCache/>
            </numRef>
          </val>
          <smooth val="0"/>
        </ser>
        <ser>
          <idx val="7"/>
          <order val="7"/>
          <spPr>
            <a:ln cmpd="sng">
              <a:solidFill>
                <a:srgbClr val="D38582"/>
              </a:solidFill>
              <a:prstDash val="solid"/>
            </a:ln>
          </spPr>
          <marker>
            <symbol val="none"/>
            <spPr>
              <a:ln>
                <a:prstDash val="solid"/>
              </a:ln>
            </spPr>
          </marker>
          <cat>
            <strRef>
              <f>Charts!$A$5:$A$8</f>
            </strRef>
          </cat>
          <val>
            <numRef>
              <f>Charts!$I$5:$I$8</f>
              <numCache/>
            </numRef>
          </val>
          <smooth val="0"/>
        </ser>
        <ser>
          <idx val="8"/>
          <order val="8"/>
          <spPr>
            <a:ln cmpd="sng">
              <a:solidFill>
                <a:srgbClr val="B9CF8B"/>
              </a:solidFill>
              <a:prstDash val="solid"/>
            </a:ln>
          </spPr>
          <marker>
            <symbol val="none"/>
            <spPr>
              <a:ln>
                <a:prstDash val="solid"/>
              </a:ln>
            </spPr>
          </marker>
          <cat>
            <strRef>
              <f>Charts!$A$5:$A$8</f>
            </strRef>
          </cat>
          <val>
            <numRef>
              <f>Charts!$J$5:$J$8</f>
              <numCache/>
            </numRef>
          </val>
          <smooth val="0"/>
        </ser>
        <ser>
          <idx val="9"/>
          <order val="9"/>
          <spPr>
            <a:ln cmpd="sng">
              <a:solidFill>
                <a:srgbClr val="A693BE"/>
              </a:solidFill>
              <a:prstDash val="solid"/>
            </a:ln>
          </spPr>
          <marker>
            <symbol val="none"/>
            <spPr>
              <a:ln>
                <a:prstDash val="solid"/>
              </a:ln>
            </spPr>
          </marker>
          <cat>
            <strRef>
              <f>Charts!$A$5:$A$8</f>
            </strRef>
          </cat>
          <val>
            <numRef>
              <f>Charts!$K$5:$K$8</f>
              <numCache/>
            </numRef>
          </val>
          <smooth val="0"/>
        </ser>
        <ser>
          <idx val="10"/>
          <order val="10"/>
          <spPr>
            <a:ln cmpd="sng">
              <a:solidFill>
                <a:srgbClr val="81C5D7"/>
              </a:solidFill>
              <a:prstDash val="solid"/>
            </a:ln>
          </spPr>
          <marker>
            <symbol val="none"/>
            <spPr>
              <a:ln>
                <a:prstDash val="solid"/>
              </a:ln>
            </spPr>
          </marker>
          <cat>
            <strRef>
              <f>Charts!$A$5:$A$8</f>
            </strRef>
          </cat>
          <val>
            <numRef>
              <f>Charts!$L$5:$L$8</f>
              <numCache/>
            </numRef>
          </val>
          <smooth val="0"/>
        </ser>
        <ser>
          <idx val="11"/>
          <order val="11"/>
          <spPr>
            <a:ln cmpd="sng">
              <a:solidFill>
                <a:srgbClr val="F9B67E"/>
              </a:solidFill>
              <a:prstDash val="solid"/>
            </a:ln>
          </spPr>
          <marker>
            <symbol val="none"/>
            <spPr>
              <a:ln>
                <a:prstDash val="solid"/>
              </a:ln>
            </spPr>
          </marker>
          <cat>
            <strRef>
              <f>Charts!$A$5:$A$8</f>
            </strRef>
          </cat>
          <val>
            <numRef>
              <f>Charts!$M$5:$M$8</f>
              <numCache/>
            </numRef>
          </val>
          <smooth val="0"/>
        </ser>
        <axId val="1585165011"/>
        <axId val="1065133208"/>
      </lineChart>
      <catAx>
        <axId val="1585165011"/>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noFill/>
            <a:prstDash val="solid"/>
          </a:ln>
        </spPr>
        <txPr>
          <a:bodyPr/>
          <a:lstStyle/>
          <a:p>
            <a:pPr lvl="0">
              <a:defRPr b="0">
                <a:solidFill>
                  <a:srgbClr val="000000"/>
                </a:solidFill>
                <a:latin typeface="+mn-lt"/>
              </a:defRPr>
            </a:pPr>
            <a:r>
              <a:t/>
            </a:r>
          </a:p>
        </txPr>
        <crossAx val="1065133208"/>
        <lblOffset val="100"/>
      </catAx>
      <valAx>
        <axId val="1065133208"/>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noFill/>
            <a:prstDash val="solid"/>
          </a:ln>
        </spPr>
        <txPr>
          <a:bodyPr/>
          <a:lstStyle/>
          <a:p>
            <a:pPr lvl="0">
              <a:defRPr b="0">
                <a:solidFill>
                  <a:srgbClr val="000000"/>
                </a:solidFill>
                <a:latin typeface="+mn-lt"/>
              </a:defRPr>
            </a:pPr>
            <a:r>
              <a:t/>
            </a:r>
          </a:p>
        </txPr>
        <crossAx val="1585165011"/>
      </valAx>
    </plotArea>
    <legend>
      <legendPos val="b"/>
      <overlay val="0"/>
      <txPr>
        <a:bodyPr/>
        <a:lstStyle/>
        <a:p>
          <a:pPr lvl="0">
            <a:defRPr b="0">
              <a:solidFill>
                <a:srgbClr val="1A1A1A"/>
              </a:solidFill>
              <a:latin typeface="+mn-lt"/>
            </a:defRPr>
          </a:pPr>
          <a:r>
            <a:t/>
          </a:r>
        </a:p>
      </txPr>
    </legend>
    <plotVisOnly val="1"/>
    <dispBlanksAs val="gap"/>
  </chart>
</chartSpace>
</file>

<file path=xl/charts/chart2.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Variable Spending by Category</a:t>
            </a:r>
          </a:p>
        </rich>
      </tx>
      <overlay val="0"/>
    </title>
    <plotArea>
      <layout/>
      <barChart>
        <barDir val="col"/>
        <grouping val="stacked"/>
        <ser>
          <idx val="0"/>
          <order val="0"/>
          <spPr>
            <a:solidFill>
              <a:schemeClr val="accent1"/>
            </a:solidFill>
            <a:ln cmpd="sng">
              <a:noFill/>
              <a:prstDash val="solid"/>
            </a:ln>
          </spPr>
          <cat>
            <strRef>
              <f>'CC Detail'!$A$4:$A$17</f>
            </strRef>
          </cat>
          <val>
            <numRef>
              <f>'CC Detail'!$B$4:$B$17</f>
              <numCache/>
            </numRef>
          </val>
        </ser>
        <ser>
          <idx val="1"/>
          <order val="1"/>
          <spPr>
            <a:solidFill>
              <a:schemeClr val="accent2"/>
            </a:solidFill>
            <a:ln cmpd="sng">
              <a:noFill/>
              <a:prstDash val="solid"/>
            </a:ln>
          </spPr>
          <cat>
            <strRef>
              <f>'CC Detail'!$A$4:$A$17</f>
            </strRef>
          </cat>
          <val>
            <numRef>
              <f>'CC Detail'!$C$4:$C$17</f>
              <numCache/>
            </numRef>
          </val>
        </ser>
        <ser>
          <idx val="2"/>
          <order val="2"/>
          <spPr>
            <a:solidFill>
              <a:schemeClr val="accent3"/>
            </a:solidFill>
            <a:ln cmpd="sng">
              <a:noFill/>
              <a:prstDash val="solid"/>
            </a:ln>
          </spPr>
          <cat>
            <strRef>
              <f>'CC Detail'!$A$4:$A$17</f>
            </strRef>
          </cat>
          <val>
            <numRef>
              <f>'CC Detail'!$D$4:$D$17</f>
              <numCache/>
            </numRef>
          </val>
        </ser>
        <ser>
          <idx val="3"/>
          <order val="3"/>
          <spPr>
            <a:solidFill>
              <a:schemeClr val="accent4"/>
            </a:solidFill>
            <a:ln cmpd="sng">
              <a:noFill/>
              <a:prstDash val="solid"/>
            </a:ln>
          </spPr>
          <cat>
            <strRef>
              <f>'CC Detail'!$A$4:$A$17</f>
            </strRef>
          </cat>
          <val>
            <numRef>
              <f>'CC Detail'!$E$4:$E$17</f>
              <numCache/>
            </numRef>
          </val>
        </ser>
        <ser>
          <idx val="4"/>
          <order val="4"/>
          <spPr>
            <a:solidFill>
              <a:schemeClr val="accent5"/>
            </a:solidFill>
            <a:ln cmpd="sng">
              <a:noFill/>
              <a:prstDash val="solid"/>
            </a:ln>
          </spPr>
          <cat>
            <strRef>
              <f>'CC Detail'!$A$4:$A$17</f>
            </strRef>
          </cat>
          <val>
            <numRef>
              <f>'CC Detail'!$F$4:$F$17</f>
              <numCache/>
            </numRef>
          </val>
        </ser>
        <ser>
          <idx val="5"/>
          <order val="5"/>
          <spPr>
            <a:solidFill>
              <a:schemeClr val="accent6"/>
            </a:solidFill>
            <a:ln cmpd="sng">
              <a:noFill/>
              <a:prstDash val="solid"/>
            </a:ln>
          </spPr>
          <cat>
            <strRef>
              <f>'CC Detail'!$A$4:$A$17</f>
            </strRef>
          </cat>
          <val>
            <numRef>
              <f>'CC Detail'!$G$4:$G$17</f>
              <numCache/>
            </numRef>
          </val>
        </ser>
        <ser>
          <idx val="6"/>
          <order val="6"/>
          <spPr>
            <a:ln>
              <a:prstDash val="solid"/>
            </a:ln>
          </spPr>
          <cat>
            <strRef>
              <f>'CC Detail'!$A$4:$A$17</f>
            </strRef>
          </cat>
          <val>
            <numRef>
              <f>'CC Detail'!$H$4:$H$17</f>
              <numCache/>
            </numRef>
          </val>
        </ser>
        <ser>
          <idx val="7"/>
          <order val="7"/>
          <spPr>
            <a:ln>
              <a:prstDash val="solid"/>
            </a:ln>
          </spPr>
          <cat>
            <strRef>
              <f>'CC Detail'!$A$4:$A$17</f>
            </strRef>
          </cat>
          <val>
            <numRef>
              <f>'CC Detail'!$I$4:$I$17</f>
              <numCache/>
            </numRef>
          </val>
        </ser>
        <ser>
          <idx val="8"/>
          <order val="8"/>
          <spPr>
            <a:ln>
              <a:prstDash val="solid"/>
            </a:ln>
          </spPr>
          <cat>
            <strRef>
              <f>'CC Detail'!$A$4:$A$17</f>
            </strRef>
          </cat>
          <val>
            <numRef>
              <f>'CC Detail'!$J$4:$J$17</f>
              <numCache/>
            </numRef>
          </val>
        </ser>
        <ser>
          <idx val="9"/>
          <order val="9"/>
          <spPr>
            <a:ln>
              <a:prstDash val="solid"/>
            </a:ln>
          </spPr>
          <cat>
            <strRef>
              <f>'CC Detail'!$A$4:$A$17</f>
            </strRef>
          </cat>
          <val>
            <numRef>
              <f>'CC Detail'!$K$4:$K$17</f>
              <numCache/>
            </numRef>
          </val>
        </ser>
        <ser>
          <idx val="10"/>
          <order val="10"/>
          <spPr>
            <a:ln>
              <a:prstDash val="solid"/>
            </a:ln>
          </spPr>
          <cat>
            <strRef>
              <f>'CC Detail'!$A$4:$A$17</f>
            </strRef>
          </cat>
          <val>
            <numRef>
              <f>'CC Detail'!$L$4:$L$17</f>
              <numCache/>
            </numRef>
          </val>
        </ser>
        <ser>
          <idx val="11"/>
          <order val="11"/>
          <spPr>
            <a:ln>
              <a:prstDash val="solid"/>
            </a:ln>
          </spPr>
          <cat>
            <strRef>
              <f>'CC Detail'!$A$4:$A$17</f>
            </strRef>
          </cat>
          <val>
            <numRef>
              <f>'CC Detail'!$M$4:$M$17</f>
              <numCache/>
            </numRef>
          </val>
        </ser>
        <gapWidth val="150"/>
        <overlap val="100"/>
        <axId val="885572012"/>
        <axId val="783882657"/>
      </barChart>
      <catAx>
        <axId val="885572012"/>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noFill/>
            <a:prstDash val="solid"/>
          </a:ln>
        </spPr>
        <txPr>
          <a:bodyPr/>
          <a:lstStyle/>
          <a:p>
            <a:pPr lvl="0">
              <a:defRPr b="0">
                <a:solidFill>
                  <a:srgbClr val="000000"/>
                </a:solidFill>
                <a:latin typeface="+mn-lt"/>
              </a:defRPr>
            </a:pPr>
            <a:r>
              <a:t/>
            </a:r>
          </a:p>
        </txPr>
        <crossAx val="783882657"/>
        <lblOffset val="100"/>
      </catAx>
      <valAx>
        <axId val="783882657"/>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noFill/>
            <a:prstDash val="solid"/>
          </a:ln>
        </spPr>
        <txPr>
          <a:bodyPr/>
          <a:lstStyle/>
          <a:p>
            <a:pPr lvl="0">
              <a:defRPr b="0">
                <a:solidFill>
                  <a:srgbClr val="000000"/>
                </a:solidFill>
                <a:latin typeface="+mn-lt"/>
              </a:defRPr>
            </a:pPr>
            <a:r>
              <a:t/>
            </a:r>
          </a:p>
        </txPr>
        <crossAx val="885572012"/>
      </valAx>
    </plotArea>
    <legend>
      <legendPos val="r"/>
      <overlay val="0"/>
      <txPr>
        <a:bodyPr/>
        <a:lstStyle/>
        <a:p>
          <a:pPr lvl="0">
            <a:defRPr b="0">
              <a:solidFill>
                <a:srgbClr val="1A1A1A"/>
              </a:solidFill>
              <a:latin typeface="+mn-lt"/>
            </a:defRPr>
          </a:pPr>
          <a:r>
            <a:t/>
          </a:r>
        </a:p>
      </txPr>
    </legend>
    <plotVisOnly val="1"/>
    <dispBlanksAs val="gap"/>
  </chart>
</chartSpace>
</file>

<file path=xl/charts/chart3.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Solar Payback</a:t>
            </a:r>
          </a:p>
        </rich>
      </tx>
      <overlay val="0"/>
    </title>
    <plotArea>
      <layout/>
      <lineChart>
        <grouping val="standard"/>
        <ser>
          <idx val="0"/>
          <order val="0"/>
          <spPr>
            <a:ln cmpd="sng">
              <a:solidFill>
                <a:srgbClr val="4F81BD"/>
              </a:solidFill>
              <a:prstDash val="solid"/>
            </a:ln>
          </spPr>
          <marker>
            <symbol val="none"/>
            <spPr>
              <a:ln>
                <a:prstDash val="solid"/>
              </a:ln>
            </spPr>
          </marker>
          <cat>
            <strRef>
              <f>Charts!$A$29:$A$31</f>
            </strRef>
          </cat>
          <val>
            <numRef>
              <f>Charts!$B$29:$B$31</f>
              <numCache/>
            </numRef>
          </val>
          <smooth val="0"/>
        </ser>
        <ser>
          <idx val="1"/>
          <order val="1"/>
          <spPr>
            <a:ln cmpd="sng">
              <a:solidFill>
                <a:srgbClr val="C0504D"/>
              </a:solidFill>
              <a:prstDash val="solid"/>
            </a:ln>
          </spPr>
          <marker>
            <symbol val="none"/>
            <spPr>
              <a:ln>
                <a:prstDash val="solid"/>
              </a:ln>
            </spPr>
          </marker>
          <cat>
            <strRef>
              <f>Charts!$A$29:$A$31</f>
            </strRef>
          </cat>
          <val>
            <numRef>
              <f>Charts!$C$29:$C$31</f>
              <numCache/>
            </numRef>
          </val>
          <smooth val="0"/>
        </ser>
        <ser>
          <idx val="2"/>
          <order val="2"/>
          <spPr>
            <a:ln cmpd="sng">
              <a:solidFill>
                <a:srgbClr val="9BBB59"/>
              </a:solidFill>
              <a:prstDash val="solid"/>
            </a:ln>
          </spPr>
          <marker>
            <symbol val="none"/>
            <spPr>
              <a:ln>
                <a:prstDash val="solid"/>
              </a:ln>
            </spPr>
          </marker>
          <cat>
            <strRef>
              <f>Charts!$A$29:$A$31</f>
            </strRef>
          </cat>
          <val>
            <numRef>
              <f>Charts!$D$29:$D$31</f>
              <numCache/>
            </numRef>
          </val>
          <smooth val="0"/>
        </ser>
        <ser>
          <idx val="3"/>
          <order val="3"/>
          <spPr>
            <a:ln cmpd="sng">
              <a:solidFill>
                <a:srgbClr val="8064A2"/>
              </a:solidFill>
              <a:prstDash val="solid"/>
            </a:ln>
          </spPr>
          <marker>
            <symbol val="none"/>
            <spPr>
              <a:ln>
                <a:prstDash val="solid"/>
              </a:ln>
            </spPr>
          </marker>
          <cat>
            <strRef>
              <f>Charts!$A$29:$A$31</f>
            </strRef>
          </cat>
          <val>
            <numRef>
              <f>Charts!$E$29:$E$31</f>
              <numCache/>
            </numRef>
          </val>
          <smooth val="0"/>
        </ser>
        <ser>
          <idx val="4"/>
          <order val="4"/>
          <spPr>
            <a:ln cmpd="sng">
              <a:solidFill>
                <a:srgbClr val="4BACC6"/>
              </a:solidFill>
              <a:prstDash val="solid"/>
            </a:ln>
          </spPr>
          <marker>
            <symbol val="none"/>
            <spPr>
              <a:ln>
                <a:prstDash val="solid"/>
              </a:ln>
            </spPr>
          </marker>
          <cat>
            <strRef>
              <f>Charts!$A$29:$A$31</f>
            </strRef>
          </cat>
          <val>
            <numRef>
              <f>Charts!$F$29:$F$31</f>
              <numCache/>
            </numRef>
          </val>
          <smooth val="0"/>
        </ser>
        <ser>
          <idx val="5"/>
          <order val="5"/>
          <spPr>
            <a:ln cmpd="sng">
              <a:solidFill>
                <a:srgbClr val="F79646"/>
              </a:solidFill>
              <a:prstDash val="solid"/>
            </a:ln>
          </spPr>
          <marker>
            <symbol val="none"/>
            <spPr>
              <a:ln>
                <a:prstDash val="solid"/>
              </a:ln>
            </spPr>
          </marker>
          <cat>
            <strRef>
              <f>Charts!$A$29:$A$31</f>
            </strRef>
          </cat>
          <val>
            <numRef>
              <f>Charts!$G$29:$G$31</f>
              <numCache/>
            </numRef>
          </val>
          <smooth val="0"/>
        </ser>
        <ser>
          <idx val="6"/>
          <order val="6"/>
          <spPr>
            <a:ln cmpd="sng">
              <a:solidFill>
                <a:srgbClr val="84A7D1"/>
              </a:solidFill>
              <a:prstDash val="solid"/>
            </a:ln>
          </spPr>
          <marker>
            <symbol val="none"/>
            <spPr>
              <a:ln>
                <a:prstDash val="solid"/>
              </a:ln>
            </spPr>
          </marker>
          <cat>
            <strRef>
              <f>Charts!$A$29:$A$31</f>
            </strRef>
          </cat>
          <val>
            <numRef>
              <f>Charts!$H$29:$H$31</f>
              <numCache/>
            </numRef>
          </val>
          <smooth val="0"/>
        </ser>
        <ser>
          <idx val="7"/>
          <order val="7"/>
          <spPr>
            <a:ln cmpd="sng">
              <a:solidFill>
                <a:srgbClr val="D38582"/>
              </a:solidFill>
              <a:prstDash val="solid"/>
            </a:ln>
          </spPr>
          <marker>
            <symbol val="none"/>
            <spPr>
              <a:ln>
                <a:prstDash val="solid"/>
              </a:ln>
            </spPr>
          </marker>
          <cat>
            <strRef>
              <f>Charts!$A$29:$A$31</f>
            </strRef>
          </cat>
          <val>
            <numRef>
              <f>Charts!$I$29:$I$31</f>
              <numCache/>
            </numRef>
          </val>
          <smooth val="0"/>
        </ser>
        <ser>
          <idx val="8"/>
          <order val="8"/>
          <spPr>
            <a:ln cmpd="sng">
              <a:solidFill>
                <a:srgbClr val="B9CF8B"/>
              </a:solidFill>
              <a:prstDash val="solid"/>
            </a:ln>
          </spPr>
          <marker>
            <symbol val="none"/>
            <spPr>
              <a:ln>
                <a:prstDash val="solid"/>
              </a:ln>
            </spPr>
          </marker>
          <cat>
            <strRef>
              <f>Charts!$A$29:$A$31</f>
            </strRef>
          </cat>
          <val>
            <numRef>
              <f>Charts!$J$29:$J$31</f>
              <numCache/>
            </numRef>
          </val>
          <smooth val="0"/>
        </ser>
        <ser>
          <idx val="9"/>
          <order val="9"/>
          <spPr>
            <a:ln cmpd="sng">
              <a:solidFill>
                <a:srgbClr val="A693BE"/>
              </a:solidFill>
              <a:prstDash val="solid"/>
            </a:ln>
          </spPr>
          <marker>
            <symbol val="none"/>
            <spPr>
              <a:ln>
                <a:prstDash val="solid"/>
              </a:ln>
            </spPr>
          </marker>
          <cat>
            <strRef>
              <f>Charts!$A$29:$A$31</f>
            </strRef>
          </cat>
          <val>
            <numRef>
              <f>Charts!$K$29:$K$31</f>
              <numCache/>
            </numRef>
          </val>
          <smooth val="0"/>
        </ser>
        <ser>
          <idx val="10"/>
          <order val="10"/>
          <spPr>
            <a:ln cmpd="sng">
              <a:solidFill>
                <a:srgbClr val="81C5D7"/>
              </a:solidFill>
              <a:prstDash val="solid"/>
            </a:ln>
          </spPr>
          <marker>
            <symbol val="none"/>
            <spPr>
              <a:ln>
                <a:prstDash val="solid"/>
              </a:ln>
            </spPr>
          </marker>
          <cat>
            <strRef>
              <f>Charts!$A$29:$A$31</f>
            </strRef>
          </cat>
          <val>
            <numRef>
              <f>Charts!$L$29:$L$31</f>
              <numCache/>
            </numRef>
          </val>
          <smooth val="0"/>
        </ser>
        <ser>
          <idx val="11"/>
          <order val="11"/>
          <spPr>
            <a:ln cmpd="sng">
              <a:solidFill>
                <a:srgbClr val="F9B67E"/>
              </a:solidFill>
              <a:prstDash val="solid"/>
            </a:ln>
          </spPr>
          <marker>
            <symbol val="none"/>
            <spPr>
              <a:ln>
                <a:prstDash val="solid"/>
              </a:ln>
            </spPr>
          </marker>
          <cat>
            <strRef>
              <f>Charts!$A$29:$A$31</f>
            </strRef>
          </cat>
          <val>
            <numRef>
              <f>Charts!$M$29:$M$31</f>
              <numCache/>
            </numRef>
          </val>
          <smooth val="0"/>
        </ser>
        <axId val="1982504912"/>
        <axId val="1240912482"/>
      </lineChart>
      <catAx>
        <axId val="1982504912"/>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noFill/>
            <a:prstDash val="solid"/>
          </a:ln>
        </spPr>
        <txPr>
          <a:bodyPr/>
          <a:lstStyle/>
          <a:p>
            <a:pPr lvl="0">
              <a:defRPr b="0">
                <a:solidFill>
                  <a:srgbClr val="000000"/>
                </a:solidFill>
                <a:latin typeface="+mn-lt"/>
              </a:defRPr>
            </a:pPr>
            <a:r>
              <a:t/>
            </a:r>
          </a:p>
        </txPr>
        <crossAx val="1240912482"/>
        <lblOffset val="100"/>
      </catAx>
      <valAx>
        <axId val="1240912482"/>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noFill/>
            <a:prstDash val="solid"/>
          </a:ln>
        </spPr>
        <txPr>
          <a:bodyPr/>
          <a:lstStyle/>
          <a:p>
            <a:pPr lvl="0">
              <a:defRPr b="0">
                <a:solidFill>
                  <a:srgbClr val="000000"/>
                </a:solidFill>
                <a:latin typeface="+mn-lt"/>
              </a:defRPr>
            </a:pPr>
            <a:r>
              <a:t/>
            </a:r>
          </a:p>
        </txPr>
        <crossAx val="1982504912"/>
      </valAx>
    </plotArea>
    <legend>
      <legendPos val="b"/>
      <overlay val="0"/>
      <txPr>
        <a:bodyPr/>
        <a:lstStyle/>
        <a:p>
          <a:pPr lvl="0">
            <a:defRPr b="0">
              <a:solidFill>
                <a:srgbClr val="1A1A1A"/>
              </a:solidFill>
              <a:latin typeface="+mn-lt"/>
            </a:defRPr>
          </a:pPr>
          <a:r>
            <a:t/>
          </a:r>
        </a:p>
      </txPr>
    </legend>
    <plotVisOnly val="1"/>
    <dispBlanksAs val="gap"/>
  </chart>
</chartSpace>
</file>

<file path=xl/charts/chart4.xml><?xml version="1.0" encoding="utf-8"?>
<chartSpace xmlns:a="http://schemas.openxmlformats.org/drawingml/2006/main" xmlns="http://schemas.openxmlformats.org/drawingml/2006/chart">
  <chart>
    <title>
      <tx>
        <rich>
          <a:bodyPr/>
          <a:lstStyle/>
          <a:p>
            <a:pPr lvl="0">
              <a:defRPr b="0">
                <a:solidFill>
                  <a:srgbClr val="757575"/>
                </a:solidFill>
                <a:latin typeface="+mn-lt"/>
              </a:defRPr>
            </a:pPr>
            <a:r>
              <a:rPr b="0">
                <a:solidFill>
                  <a:srgbClr val="757575"/>
                </a:solidFill>
                <a:latin typeface="+mn-lt"/>
              </a:rPr>
              <a:t>Net Worth Trend</a:t>
            </a:r>
          </a:p>
        </rich>
      </tx>
      <overlay val="0"/>
    </title>
    <plotArea>
      <layout/>
      <lineChart>
        <grouping val="standard"/>
        <ser>
          <idx val="0"/>
          <order val="0"/>
          <spPr>
            <a:ln cmpd="sng">
              <a:solidFill>
                <a:srgbClr val="4F81BD"/>
              </a:solidFill>
              <a:prstDash val="solid"/>
            </a:ln>
          </spPr>
          <marker>
            <symbol val="none"/>
            <spPr>
              <a:ln>
                <a:prstDash val="solid"/>
              </a:ln>
            </spPr>
          </marker>
          <cat>
            <strRef>
              <f>Charts!$A$46:$A$47</f>
            </strRef>
          </cat>
          <val>
            <numRef>
              <f>Charts!$B$46:$B$47</f>
              <numCache/>
            </numRef>
          </val>
          <smooth val="0"/>
        </ser>
        <ser>
          <idx val="1"/>
          <order val="1"/>
          <spPr>
            <a:ln cmpd="sng">
              <a:solidFill>
                <a:srgbClr val="C0504D"/>
              </a:solidFill>
              <a:prstDash val="solid"/>
            </a:ln>
          </spPr>
          <marker>
            <symbol val="none"/>
            <spPr>
              <a:ln>
                <a:prstDash val="solid"/>
              </a:ln>
            </spPr>
          </marker>
          <cat>
            <strRef>
              <f>Charts!$A$46:$A$47</f>
            </strRef>
          </cat>
          <val>
            <numRef>
              <f>Charts!$C$46:$C$47</f>
              <numCache/>
            </numRef>
          </val>
          <smooth val="0"/>
        </ser>
        <ser>
          <idx val="2"/>
          <order val="2"/>
          <spPr>
            <a:ln cmpd="sng">
              <a:solidFill>
                <a:srgbClr val="9BBB59"/>
              </a:solidFill>
              <a:prstDash val="solid"/>
            </a:ln>
          </spPr>
          <marker>
            <symbol val="none"/>
            <spPr>
              <a:ln>
                <a:prstDash val="solid"/>
              </a:ln>
            </spPr>
          </marker>
          <cat>
            <strRef>
              <f>Charts!$A$46:$A$47</f>
            </strRef>
          </cat>
          <val>
            <numRef>
              <f>Charts!$D$46:$D$47</f>
              <numCache/>
            </numRef>
          </val>
          <smooth val="0"/>
        </ser>
        <ser>
          <idx val="3"/>
          <order val="3"/>
          <spPr>
            <a:ln cmpd="sng">
              <a:solidFill>
                <a:srgbClr val="8064A2"/>
              </a:solidFill>
              <a:prstDash val="solid"/>
            </a:ln>
          </spPr>
          <marker>
            <symbol val="none"/>
            <spPr>
              <a:ln>
                <a:prstDash val="solid"/>
              </a:ln>
            </spPr>
          </marker>
          <cat>
            <strRef>
              <f>Charts!$A$46:$A$47</f>
            </strRef>
          </cat>
          <val>
            <numRef>
              <f>Charts!$E$46:$E$47</f>
              <numCache/>
            </numRef>
          </val>
          <smooth val="0"/>
        </ser>
        <ser>
          <idx val="4"/>
          <order val="4"/>
          <spPr>
            <a:ln cmpd="sng">
              <a:solidFill>
                <a:srgbClr val="4BACC6"/>
              </a:solidFill>
              <a:prstDash val="solid"/>
            </a:ln>
          </spPr>
          <marker>
            <symbol val="none"/>
            <spPr>
              <a:ln>
                <a:prstDash val="solid"/>
              </a:ln>
            </spPr>
          </marker>
          <cat>
            <strRef>
              <f>Charts!$A$46:$A$47</f>
            </strRef>
          </cat>
          <val>
            <numRef>
              <f>Charts!$F$46:$F$47</f>
              <numCache/>
            </numRef>
          </val>
          <smooth val="0"/>
        </ser>
        <ser>
          <idx val="5"/>
          <order val="5"/>
          <spPr>
            <a:ln cmpd="sng">
              <a:solidFill>
                <a:srgbClr val="F79646"/>
              </a:solidFill>
              <a:prstDash val="solid"/>
            </a:ln>
          </spPr>
          <marker>
            <symbol val="none"/>
            <spPr>
              <a:ln>
                <a:prstDash val="solid"/>
              </a:ln>
            </spPr>
          </marker>
          <cat>
            <strRef>
              <f>Charts!$A$46:$A$47</f>
            </strRef>
          </cat>
          <val>
            <numRef>
              <f>Charts!$G$46:$G$47</f>
              <numCache/>
            </numRef>
          </val>
          <smooth val="0"/>
        </ser>
        <ser>
          <idx val="6"/>
          <order val="6"/>
          <spPr>
            <a:ln cmpd="sng">
              <a:solidFill>
                <a:srgbClr val="84A7D1"/>
              </a:solidFill>
              <a:prstDash val="solid"/>
            </a:ln>
          </spPr>
          <marker>
            <symbol val="none"/>
            <spPr>
              <a:ln>
                <a:prstDash val="solid"/>
              </a:ln>
            </spPr>
          </marker>
          <cat>
            <strRef>
              <f>Charts!$A$46:$A$47</f>
            </strRef>
          </cat>
          <val>
            <numRef>
              <f>Charts!$H$46:$H$47</f>
              <numCache/>
            </numRef>
          </val>
          <smooth val="0"/>
        </ser>
        <ser>
          <idx val="7"/>
          <order val="7"/>
          <spPr>
            <a:ln cmpd="sng">
              <a:solidFill>
                <a:srgbClr val="D38582"/>
              </a:solidFill>
              <a:prstDash val="solid"/>
            </a:ln>
          </spPr>
          <marker>
            <symbol val="none"/>
            <spPr>
              <a:ln>
                <a:prstDash val="solid"/>
              </a:ln>
            </spPr>
          </marker>
          <cat>
            <strRef>
              <f>Charts!$A$46:$A$47</f>
            </strRef>
          </cat>
          <val>
            <numRef>
              <f>Charts!$I$46:$I$47</f>
              <numCache/>
            </numRef>
          </val>
          <smooth val="0"/>
        </ser>
        <ser>
          <idx val="8"/>
          <order val="8"/>
          <spPr>
            <a:ln cmpd="sng">
              <a:solidFill>
                <a:srgbClr val="B9CF8B"/>
              </a:solidFill>
              <a:prstDash val="solid"/>
            </a:ln>
          </spPr>
          <marker>
            <symbol val="none"/>
            <spPr>
              <a:ln>
                <a:prstDash val="solid"/>
              </a:ln>
            </spPr>
          </marker>
          <cat>
            <strRef>
              <f>Charts!$A$46:$A$47</f>
            </strRef>
          </cat>
          <val>
            <numRef>
              <f>Charts!$J$46:$J$47</f>
              <numCache/>
            </numRef>
          </val>
          <smooth val="0"/>
        </ser>
        <ser>
          <idx val="9"/>
          <order val="9"/>
          <spPr>
            <a:ln cmpd="sng">
              <a:solidFill>
                <a:srgbClr val="A693BE"/>
              </a:solidFill>
              <a:prstDash val="solid"/>
            </a:ln>
          </spPr>
          <marker>
            <symbol val="none"/>
            <spPr>
              <a:ln>
                <a:prstDash val="solid"/>
              </a:ln>
            </spPr>
          </marker>
          <cat>
            <strRef>
              <f>Charts!$A$46:$A$47</f>
            </strRef>
          </cat>
          <val>
            <numRef>
              <f>Charts!$K$46:$K$47</f>
              <numCache/>
            </numRef>
          </val>
          <smooth val="0"/>
        </ser>
        <ser>
          <idx val="10"/>
          <order val="10"/>
          <spPr>
            <a:ln cmpd="sng">
              <a:solidFill>
                <a:srgbClr val="81C5D7"/>
              </a:solidFill>
              <a:prstDash val="solid"/>
            </a:ln>
          </spPr>
          <marker>
            <symbol val="none"/>
            <spPr>
              <a:ln>
                <a:prstDash val="solid"/>
              </a:ln>
            </spPr>
          </marker>
          <cat>
            <strRef>
              <f>Charts!$A$46:$A$47</f>
            </strRef>
          </cat>
          <val>
            <numRef>
              <f>Charts!$L$46:$L$47</f>
              <numCache/>
            </numRef>
          </val>
          <smooth val="0"/>
        </ser>
        <ser>
          <idx val="11"/>
          <order val="11"/>
          <spPr>
            <a:ln cmpd="sng">
              <a:solidFill>
                <a:srgbClr val="F9B67E"/>
              </a:solidFill>
              <a:prstDash val="solid"/>
            </a:ln>
          </spPr>
          <marker>
            <symbol val="none"/>
            <spPr>
              <a:ln>
                <a:prstDash val="solid"/>
              </a:ln>
            </spPr>
          </marker>
          <cat>
            <strRef>
              <f>Charts!$A$46:$A$47</f>
            </strRef>
          </cat>
          <val>
            <numRef>
              <f>Charts!$M$46:$M$47</f>
              <numCache/>
            </numRef>
          </val>
          <smooth val="0"/>
        </ser>
        <axId val="73091388"/>
        <axId val="262281641"/>
      </lineChart>
      <catAx>
        <axId val="73091388"/>
        <scaling>
          <orientation val="minMax"/>
        </scaling>
        <delete val="0"/>
        <axPos val="b"/>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spPr>
          <a:ln>
            <a:noFill/>
            <a:prstDash val="solid"/>
          </a:ln>
        </spPr>
        <txPr>
          <a:bodyPr/>
          <a:lstStyle/>
          <a:p>
            <a:pPr lvl="0">
              <a:defRPr b="0">
                <a:solidFill>
                  <a:srgbClr val="000000"/>
                </a:solidFill>
                <a:latin typeface="+mn-lt"/>
              </a:defRPr>
            </a:pPr>
            <a:r>
              <a:t/>
            </a:r>
          </a:p>
        </txPr>
        <crossAx val="262281641"/>
        <lblOffset val="100"/>
      </catAx>
      <valAx>
        <axId val="262281641"/>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mn-lt"/>
                  </a:defRPr>
                </a:pPr>
                <a:r>
                  <a:rPr b="0">
                    <a:solidFill>
                      <a:srgbClr val="000000"/>
                    </a:solidFill>
                    <a:latin typeface="+mn-lt"/>
                  </a:rPr>
                  <a:t>None</a:t>
                </a:r>
              </a:p>
            </rich>
          </tx>
          <overlay val="0"/>
        </title>
        <numFmt formatCode="General" sourceLinked="1"/>
        <majorTickMark val="none"/>
        <minorTickMark val="none"/>
        <tickLblPos val="nextTo"/>
        <spPr>
          <a:ln>
            <a:noFill/>
            <a:prstDash val="solid"/>
          </a:ln>
        </spPr>
        <txPr>
          <a:bodyPr/>
          <a:lstStyle/>
          <a:p>
            <a:pPr lvl="0">
              <a:defRPr b="0">
                <a:solidFill>
                  <a:srgbClr val="000000"/>
                </a:solidFill>
                <a:latin typeface="+mn-lt"/>
              </a:defRPr>
            </a:pPr>
            <a:r>
              <a:t/>
            </a:r>
          </a:p>
        </txPr>
        <crossAx val="73091388"/>
      </valAx>
    </plotArea>
    <legend>
      <legendPos val="b"/>
      <overlay val="0"/>
      <txPr>
        <a:bodyPr/>
        <a:lstStyle/>
        <a:p>
          <a:pPr lvl="0">
            <a:defRPr b="0">
              <a:solidFill>
                <a:srgbClr val="1A1A1A"/>
              </a:solidFill>
              <a:latin typeface="+mn-lt"/>
            </a:defRPr>
          </a:pPr>
          <a:r>
            <a:t/>
          </a:r>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10</row>
      <rowOff>0</rowOff>
    </from>
    <ext cx="5715000" cy="3533775"/>
    <graphicFrame>
      <nvGraphicFramePr>
        <cNvPr id="1" name="Chart 1"/>
        <cNvGraphicFramePr/>
      </nvGraphicFramePr>
      <xfrm/>
      <a:graphic>
        <a:graphicData uri="http://schemas.openxmlformats.org/drawingml/2006/chart">
          <c:chart r:id="rId1"/>
        </a:graphicData>
      </a:graphic>
    </graphicFrame>
    <clientData fLocksWithSheet="0"/>
  </oneCellAnchor>
  <oneCellAnchor>
    <from>
      <col>0</col>
      <colOff>0</colOff>
      <row>29</row>
      <rowOff>0</rowOff>
    </from>
    <ext cx="5715000" cy="3533775"/>
    <graphicFrame>
      <nvGraphicFramePr>
        <cNvPr id="2" name="Chart 2"/>
        <cNvGraphicFramePr/>
      </nvGraphicFramePr>
      <xfrm/>
      <a:graphic>
        <a:graphicData uri="http://schemas.openxmlformats.org/drawingml/2006/chart">
          <c:chart r:id="rId2"/>
        </a:graphicData>
      </a:graphic>
    </graphicFrame>
    <clientData fLocksWithSheet="0"/>
  </oneCellAnchor>
  <oneCellAnchor>
    <from>
      <col>0</col>
      <colOff>0</colOff>
      <row>49</row>
      <rowOff>0</rowOff>
    </from>
    <ext cx="5715000" cy="3533775"/>
    <graphicFrame>
      <nvGraphicFramePr>
        <cNvPr id="3" name="Chart 3"/>
        <cNvGraphicFramePr/>
      </nvGraphicFramePr>
      <xfrm/>
      <a:graphic>
        <a:graphicData uri="http://schemas.openxmlformats.org/drawingml/2006/chart">
          <c:chart r:id="rId3"/>
        </a:graphicData>
      </a:graphic>
    </graphicFrame>
    <clientData fLocksWithSheet="0"/>
  </oneCellAnchor>
  <oneCellAnchor>
    <from>
      <col>0</col>
      <colOff>0</colOff>
      <row>69</row>
      <rowOff>0</rowOff>
    </from>
    <ext cx="5715000" cy="3533775"/>
    <graphicFrame>
      <nvGraphicFramePr>
        <cNvPr id="4" name="Chart 4"/>
        <cNvGraphicFramePr/>
      </nvGraphicFramePr>
      <xfrm/>
      <a:graphic>
        <a:graphicData uri="http://schemas.openxmlformats.org/drawingml/2006/chart">
          <c:chart r:id="rId4"/>
        </a:graphicData>
      </a:graphic>
    </graphicFrame>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91"/>
  <sheetViews>
    <sheetView workbookViewId="0">
      <selection activeCell="A1" sqref="A1"/>
    </sheetView>
  </sheetViews>
  <sheetFormatPr baseColWidth="8" defaultColWidth="14.43" defaultRowHeight="15" customHeight="1"/>
  <cols>
    <col width="100" customWidth="1" style="39" min="1" max="1"/>
    <col width="8.43" customWidth="1" style="39" min="2" max="2"/>
    <col width="8.710000000000001" customWidth="1" style="39" min="3" max="26"/>
  </cols>
  <sheetData>
    <row r="1">
      <c r="A1" s="1" t="inlineStr">
        <is>
          <t>Family Income Statement 2026 — v4</t>
        </is>
      </c>
    </row>
    <row r="3">
      <c r="A3" s="10" t="inlineStr">
        <is>
          <t>TABS:</t>
        </is>
      </c>
    </row>
    <row r="4">
      <c r="A4" s="10" t="inlineStr">
        <is>
          <t xml:space="preserve">  README          — this guide</t>
        </is>
      </c>
    </row>
    <row r="5">
      <c r="A5" s="10" t="inlineStr">
        <is>
          <t xml:space="preserve">  Income Statement — main monthly P&amp;L</t>
        </is>
      </c>
    </row>
    <row r="6">
      <c r="A6" s="10" t="inlineStr">
        <is>
          <t xml:space="preserve">  CC Detail       — categorized variable spending (auto)</t>
        </is>
      </c>
    </row>
    <row r="7">
      <c r="A7" s="10" t="inlineStr">
        <is>
          <t xml:space="preserve">  Solar ROI       — capital, monthly savings, payback</t>
        </is>
      </c>
    </row>
    <row r="8">
      <c r="A8" s="10" t="inlineStr">
        <is>
          <t xml:space="preserve">  Balances        — month-end account snapshots</t>
        </is>
      </c>
    </row>
    <row r="9">
      <c r="A9" s="10" t="inlineStr">
        <is>
          <t xml:space="preserve">  Comp &amp; Benefits — Matt 401k, Sue pension/403b, FSA tracking</t>
        </is>
      </c>
    </row>
    <row r="10">
      <c r="A10" s="10" t="inlineStr">
        <is>
          <t xml:space="preserve">  Scenarios       — financial what-if analysis</t>
        </is>
      </c>
    </row>
    <row r="11">
      <c r="A11" s="10" t="inlineStr">
        <is>
          <t xml:space="preserve">  Charts          — auto-generated charts (run from menu)</t>
        </is>
      </c>
    </row>
    <row r="12">
      <c r="A12" s="10" t="inlineStr">
        <is>
          <t xml:space="preserve">  Imports - Checking / Savings / Barclay — paste raw CSVs here</t>
        </is>
      </c>
    </row>
    <row r="13">
      <c r="A13" s="10" t="inlineStr">
        <is>
          <t xml:space="preserve">  Rules           — merchant -&gt; category mappings</t>
        </is>
      </c>
    </row>
    <row r="15">
      <c r="A15" s="10" t="inlineStr">
        <is>
          <t>MENU (after running the Apps Script):</t>
        </is>
      </c>
    </row>
    <row r="16">
      <c r="A16" s="10" t="inlineStr">
        <is>
          <t xml:space="preserve">  📊 Family Finances</t>
        </is>
      </c>
    </row>
    <row r="17">
      <c r="A17" s="10" t="inlineStr">
        <is>
          <t xml:space="preserve">    → Categorize &amp; Roll Up      (process Imports tabs)</t>
        </is>
      </c>
    </row>
    <row r="18">
      <c r="A18" s="10" t="inlineStr">
        <is>
          <t xml:space="preserve">    → Generate / Refresh Charts (build/update Charts tab)</t>
        </is>
      </c>
    </row>
    <row r="19">
      <c r="A19" s="10" t="inlineStr">
        <is>
          <t xml:space="preserve">    → Clear All Imports         (wipe Imports tabs after monthly run)</t>
        </is>
      </c>
    </row>
    <row r="20">
      <c r="A20" s="10" t="inlineStr">
        <is>
          <t xml:space="preserve">    → Roll Over to Next Year    (carry forward balances, archive 2026)</t>
        </is>
      </c>
    </row>
    <row r="21" ht="15.75" customHeight="1" s="39">
      <c r="A21" s="10" t="inlineStr">
        <is>
          <t xml:space="preserve">    → Clear CC Detail           (reset categorized totals)</t>
        </is>
      </c>
    </row>
    <row r="22" ht="15.75" customHeight="1" s="39"/>
    <row r="23" ht="15.75" customHeight="1" s="39">
      <c r="A23" s="10" t="inlineStr">
        <is>
          <t>MONTHLY ROUTINE (5 min):</t>
        </is>
      </c>
    </row>
    <row r="24" ht="15.75" customHeight="1" s="39">
      <c r="A24" s="10" t="inlineStr">
        <is>
          <t xml:space="preserve">  1. Download CSVs from Capital One (both accounts) and Barclaycard.</t>
        </is>
      </c>
    </row>
    <row r="25" ht="15.75" customHeight="1" s="39">
      <c r="A25" s="10" t="inlineStr">
        <is>
          <t xml:space="preserve">     Use full YTD date range (Jan 1 to today) — paste-replaces previous data.</t>
        </is>
      </c>
    </row>
    <row r="26" ht="15.75" customHeight="1" s="39">
      <c r="A26" s="10" t="inlineStr">
        <is>
          <t xml:space="preserve">  2. Paste each CSV into its matching Imports tab (overwrite previous month).</t>
        </is>
      </c>
    </row>
    <row r="27" ht="15.75" customHeight="1" s="39">
      <c r="A27" s="10" t="inlineStr">
        <is>
          <t xml:space="preserve">  3. Run: 📊 Family Finances → Categorize &amp; Roll Up.</t>
        </is>
      </c>
    </row>
    <row r="28" ht="15.75" customHeight="1" s="39">
      <c r="A28" s="10" t="inlineStr">
        <is>
          <t xml:space="preserve">  4. Yellow rows in Imports = uncategorized — review and add rules if needed.</t>
        </is>
      </c>
    </row>
    <row r="29" ht="15.75" customHeight="1" s="39">
      <c r="A29" s="10" t="inlineStr">
        <is>
          <t xml:space="preserve">  5. Update Balances tab with month-end account balances.</t>
        </is>
      </c>
    </row>
    <row r="30" ht="15.75" customHeight="1" s="39">
      <c r="A30" s="10" t="inlineStr">
        <is>
          <t xml:space="preserve">  6. Update Solar ROI with the actual electric bill.</t>
        </is>
      </c>
    </row>
    <row r="31" ht="15.75" customHeight="1" s="39">
      <c r="A31" s="10" t="inlineStr">
        <is>
          <t xml:space="preserve">  7. Enter the actual ending checking balance in Reconciliation row.</t>
        </is>
      </c>
    </row>
    <row r="32" ht="15.75" customHeight="1" s="39">
      <c r="A32" s="10" t="inlineStr">
        <is>
          <t xml:space="preserve">     If Variance is near zero, your tracking is correct.</t>
        </is>
      </c>
    </row>
    <row r="33" ht="15.75" customHeight="1" s="39">
      <c r="A33" s="10" t="inlineStr">
        <is>
          <t xml:space="preserve">  8. (Optional) Run: Generate / Refresh Charts to update visuals.</t>
        </is>
      </c>
    </row>
    <row r="34" ht="15.75" customHeight="1" s="39"/>
    <row r="35" ht="15.75" customHeight="1" s="39">
      <c r="A35" s="10" t="inlineStr">
        <is>
          <t>YEAR-END ROUTINE (10 min):</t>
        </is>
      </c>
    </row>
    <row r="36" ht="15.75" customHeight="1" s="39">
      <c r="A36" s="10" t="inlineStr">
        <is>
          <t xml:space="preserve">  1. Make sure all 12 months of 2026 are filled in.</t>
        </is>
      </c>
    </row>
    <row r="37" ht="15.75" customHeight="1" s="39">
      <c r="A37" s="10" t="inlineStr">
        <is>
          <t xml:space="preserve">  2. File → Make a copy. Rename original to 'FIS 2026 (archived)'.</t>
        </is>
      </c>
    </row>
    <row r="38" ht="15.75" customHeight="1" s="39">
      <c r="A38" s="10" t="inlineStr">
        <is>
          <t xml:space="preserve">  3. In the new copy, run: 📊 Family Finances → Roll Over to Next Year.</t>
        </is>
      </c>
    </row>
    <row r="39" ht="15.75" customHeight="1" s="39">
      <c r="A39" s="10" t="inlineStr">
        <is>
          <t xml:space="preserve">     This clears 2026 monthly data and carries Dec balances → Jan 2027.</t>
        </is>
      </c>
    </row>
    <row r="40" ht="15.75" customHeight="1" s="39">
      <c r="A40" s="10" t="inlineStr">
        <is>
          <t xml:space="preserve">  4. Update the title on the Income Statement tab (cell A1).</t>
        </is>
      </c>
    </row>
    <row r="41" ht="15.75" customHeight="1" s="39">
      <c r="A41" s="10" t="inlineStr">
        <is>
          <t xml:space="preserve">  5. Update Solar ROI baseline values for the new year.</t>
        </is>
      </c>
    </row>
    <row r="42" ht="15.75" customHeight="1" s="39"/>
    <row r="43" ht="15.75" customHeight="1" s="39">
      <c r="A43" s="10" t="inlineStr">
        <is>
          <t>WHY THE OLD SHEET SHOWED A DEFICIT THAT WASN'T REAL:</t>
        </is>
      </c>
    </row>
    <row r="44" ht="15.75" customHeight="1" s="39">
      <c r="A44" s="10" t="inlineStr">
        <is>
          <t xml:space="preserve">  - Logging the Barclaycard payment (~$5-8k/mo) AS an expense, while individual</t>
        </is>
      </c>
    </row>
    <row r="45" ht="15.75" customHeight="1" s="39">
      <c r="A45" s="10" t="inlineStr">
        <is>
          <t xml:space="preserve">    purchases on the card were ALSO categorized -&gt; double-counting.</t>
        </is>
      </c>
    </row>
    <row r="46" ht="15.75" customHeight="1" s="39">
      <c r="A46" s="10" t="inlineStr">
        <is>
          <t xml:space="preserve">  - Childcare under-logged: spreadsheet had ~$350/mo, actual = ~$880/mo.</t>
        </is>
      </c>
    </row>
    <row r="47" ht="15.75" customHeight="1" s="39">
      <c r="A47" s="10" t="inlineStr">
        <is>
          <t xml:space="preserve">  - Mortgage under-logged: spreadsheet had $3,254/mo, actual ~$3,562/mo average</t>
        </is>
      </c>
    </row>
    <row r="48" ht="15.75" customHeight="1" s="39">
      <c r="A48" s="10" t="inlineStr">
        <is>
          <t xml:space="preserve">    (biweekly payments yield 26/yr = 13 monthly equivalents).</t>
        </is>
      </c>
    </row>
    <row r="49" ht="15.75" customHeight="1" s="39">
      <c r="A49" s="10" t="inlineStr">
        <is>
          <t xml:space="preserve">  - Income under-logged: tuition reimbursement (~$3,634 YTD), MathWorks expense</t>
        </is>
      </c>
    </row>
    <row r="50" ht="15.75" customHeight="1" s="39">
      <c r="A50" s="10" t="inlineStr">
        <is>
          <t xml:space="preserve">    reimbursements, FSA Dep Care reimbursement (~$4,000 March lump),</t>
        </is>
      </c>
    </row>
    <row r="51" ht="15.75" customHeight="1" s="39">
      <c r="A51" s="10" t="inlineStr">
        <is>
          <t xml:space="preserve">    Q4 stakeholder bonus, Q4 401k true-up, Amazon refunds, Barclaycard rewards,</t>
        </is>
      </c>
    </row>
    <row r="52" ht="15.75" customHeight="1" s="39">
      <c r="A52" s="10" t="inlineStr">
        <is>
          <t xml:space="preserve">    MA tax refund — all were buried in the catch-all 'Misc' line.</t>
        </is>
      </c>
    </row>
    <row r="53" ht="15.75" customHeight="1" s="39"/>
    <row r="54" ht="15.75" customHeight="1" s="39">
      <c r="A54" s="10" t="inlineStr">
        <is>
          <t>FSA DEP CARE — CONFIRMED, IT REALLY DOES CAUSE A TEMPORARY DEFICIT:</t>
        </is>
      </c>
    </row>
    <row r="55" ht="15.75" customHeight="1" s="39">
      <c r="A55" s="10" t="inlineStr">
        <is>
          <t xml:space="preserve">  - $153.85 deducted pre-tax from each MathWorks paycheck (you never see it).</t>
        </is>
      </c>
    </row>
    <row r="56" ht="15.75" customHeight="1" s="39">
      <c r="A56" s="10" t="inlineStr">
        <is>
          <t xml:space="preserve">  - 26 paychecks × $153.85 = $4,000/year going into the FSA bucket.</t>
        </is>
      </c>
    </row>
    <row r="57" ht="15.75" customHeight="1" s="39">
      <c r="A57" s="10" t="inlineStr">
        <is>
          <t xml:space="preserve">  - Childcare paid out of pocket throughout the year (~$880/mo via checks).</t>
        </is>
      </c>
    </row>
    <row r="58" ht="15.75" customHeight="1" s="39">
      <c r="A58" s="10" t="inlineStr">
        <is>
          <t xml:space="preserve">  - You submit receipts and get reimbursed up to $4,000 — typically as a</t>
        </is>
      </c>
    </row>
    <row r="59" ht="15.75" customHeight="1" s="39">
      <c r="A59" s="10" t="inlineStr">
        <is>
          <t xml:space="preserve">    lump deposit in March.</t>
        </is>
      </c>
    </row>
    <row r="60" ht="15.75" customHeight="1" s="39">
      <c r="A60" s="10" t="inlineStr">
        <is>
          <t xml:space="preserve">  - Net effect: doesn't change annual cash flow, just timing within the year</t>
        </is>
      </c>
    </row>
    <row r="61" ht="15.75" customHeight="1" s="39">
      <c r="A61" s="10" t="inlineStr">
        <is>
          <t xml:space="preserve">    (and saves you ~$1k/yr in taxes).</t>
        </is>
      </c>
    </row>
    <row r="62" ht="15.75" customHeight="1" s="39"/>
    <row r="63" ht="15.75" customHeight="1" s="39">
      <c r="A63" s="10" t="inlineStr">
        <is>
          <t>MATTHEW Q4 LUMP SUMS (MathWorks):</t>
        </is>
      </c>
    </row>
    <row r="64" ht="15.75" customHeight="1" s="39">
      <c r="A64" s="10" t="inlineStr">
        <is>
          <t xml:space="preserve">  - 401k contribution: 22% (auto-incr 1%/yr, cap 50%). Plan auto-caps at</t>
        </is>
      </c>
    </row>
    <row r="65" ht="15.75" customHeight="1" s="39">
      <c r="A65" s="10" t="inlineStr">
        <is>
          <t xml:space="preserve">    $23,500/yr — Matt is already maxed (22% × ~$144k = $31.8k &gt; limit).</t>
        </is>
      </c>
    </row>
    <row r="66" ht="15.75" customHeight="1" s="39">
      <c r="A66" s="10" t="inlineStr">
        <is>
          <t xml:space="preserve">    Matt typically maxes out by mid-September; Q4 paychecks then have no</t>
        </is>
      </c>
    </row>
    <row r="67" ht="15.75" customHeight="1" s="39">
      <c r="A67" s="10" t="inlineStr">
        <is>
          <t xml:space="preserve">    401k deduction (richer take-home).</t>
        </is>
      </c>
    </row>
    <row r="68" ht="15.75" customHeight="1" s="39">
      <c r="A68" s="10" t="inlineStr">
        <is>
          <t xml:space="preserve">  - 401k match: throughout the year, MW matches first 3% of pay; in Q4,</t>
        </is>
      </c>
    </row>
    <row r="69" ht="15.75" customHeight="1" s="39">
      <c r="A69" s="10" t="inlineStr">
        <is>
          <t xml:space="preserve">    they typically true-up to 6% (effectively doubling). Goes into 401k account,</t>
        </is>
      </c>
    </row>
    <row r="70" ht="15.75" customHeight="1" s="39">
      <c r="A70" s="10" t="inlineStr">
        <is>
          <t xml:space="preserve">    NOT checking — tracked on Comp &amp; Benefits tab.</t>
        </is>
      </c>
    </row>
    <row r="71" ht="15.75" customHeight="1" s="39">
      <c r="A71" s="10" t="inlineStr">
        <is>
          <t xml:space="preserve">  - Q4 stakeholder bonus: usually doubled at year-end. The doubling deposit</t>
        </is>
      </c>
    </row>
    <row r="72" ht="15.75" customHeight="1" s="39">
      <c r="A72" s="10" t="inlineStr">
        <is>
          <t xml:space="preserve">    DOES hit checking as a separate direct deposit (~$300+, varies by year).</t>
        </is>
      </c>
    </row>
    <row r="73" ht="15.75" customHeight="1" s="39">
      <c r="A73" s="10" t="inlineStr">
        <is>
          <t xml:space="preserve">    Tracked on Income Statement as 'Q4 stakeholder bonus'.</t>
        </is>
      </c>
    </row>
    <row r="74" ht="15.75" customHeight="1" s="39"/>
    <row r="75" ht="15.75" customHeight="1" s="39">
      <c r="A75" s="10" t="inlineStr">
        <is>
          <t>STRATEGIC NOTE — Matt's 401k is FULL:</t>
        </is>
      </c>
    </row>
    <row r="76" ht="15.75" customHeight="1" s="39">
      <c r="A76" s="10" t="inlineStr">
        <is>
          <t xml:space="preserve">  Because Matt is already maxed at the $23,500 cap, redirecting freed cash</t>
        </is>
      </c>
    </row>
    <row r="77" ht="15.75" customHeight="1" s="39">
      <c r="A77" s="10" t="inlineStr">
        <is>
          <t xml:space="preserve">  flow toward Matt's 401k adds $0. Best buckets for incremental savings:</t>
        </is>
      </c>
    </row>
    <row r="78" ht="15.75" customHeight="1" s="39">
      <c r="A78" s="10" t="inlineStr">
        <is>
          <t xml:space="preserve">    1. Sue 403b (currently $0; restart + annual rollover to escape Equitable fees)</t>
        </is>
      </c>
    </row>
    <row r="79" ht="15.75" customHeight="1" s="39">
      <c r="A79" s="10" t="inlineStr">
        <is>
          <t xml:space="preserve">    2. Backdoor Roth IRA × 2 ($14,000/yr capacity)</t>
        </is>
      </c>
    </row>
    <row r="80" ht="15.75" customHeight="1" s="39">
      <c r="A80" s="10" t="inlineStr">
        <is>
          <t xml:space="preserve">    3. HSA if MW offers HDHP option (triple tax advantage)</t>
        </is>
      </c>
    </row>
    <row r="81" ht="15.75" customHeight="1" s="39">
      <c r="A81" s="10" t="inlineStr">
        <is>
          <t xml:space="preserve">    4. 529 increase (MA tax deduction up to $2k joint = ~$100/yr savings)</t>
        </is>
      </c>
    </row>
    <row r="82" ht="15.75" customHeight="1" s="39">
      <c r="A82" s="10" t="inlineStr">
        <is>
          <t xml:space="preserve">    5. Taxable brokerage (last resort)</t>
        </is>
      </c>
    </row>
    <row r="83" ht="15.75" customHeight="1" s="39">
      <c r="A83" s="10" t="inlineStr">
        <is>
          <t xml:space="preserve">  See Scenarios tab for side-by-side comparisons.</t>
        </is>
      </c>
    </row>
    <row r="84" ht="15.75" customHeight="1" s="39"/>
    <row r="85" ht="15.75" customHeight="1" s="39">
      <c r="A85" s="10" t="inlineStr">
        <is>
          <t>COLOR LEGEND:</t>
        </is>
      </c>
    </row>
    <row r="86" ht="15.75" customHeight="1" s="39">
      <c r="A86" s="10" t="inlineStr">
        <is>
          <t xml:space="preserve">  Yellow cell = input you fill in</t>
        </is>
      </c>
    </row>
    <row r="87" ht="15.75" customHeight="1" s="39">
      <c r="A87" s="10" t="inlineStr">
        <is>
          <t xml:space="preserve">  Green cell  = a rule (Rules tab) or auto-categorized</t>
        </is>
      </c>
    </row>
    <row r="88" ht="15.75" customHeight="1" s="39">
      <c r="A88" s="10" t="inlineStr">
        <is>
          <t xml:space="preserve">  Orange cell = scenario input (Scenarios tab)</t>
        </is>
      </c>
    </row>
    <row r="89" ht="15.75" customHeight="1" s="39">
      <c r="A89" s="10" t="inlineStr">
        <is>
          <t xml:space="preserve">  Blue header = section</t>
        </is>
      </c>
    </row>
    <row r="90" ht="15.75" customHeight="1" s="39">
      <c r="A90" s="10" t="inlineStr">
        <is>
          <t xml:space="preserve">  Red number  = warning / negative variance</t>
        </is>
      </c>
    </row>
    <row r="91" ht="15.75" customHeight="1" s="39">
      <c r="A91" s="10" t="inlineStr">
        <is>
          <t xml:space="preserve">  Green number = positive / good variance</t>
        </is>
      </c>
    </row>
    <row r="92" ht="15.75" customHeight="1" s="39"/>
    <row r="93" ht="15.75" customHeight="1" s="39"/>
    <row r="94" ht="15.75" customHeight="1" s="39"/>
    <row r="95" ht="15.75" customHeight="1" s="39"/>
    <row r="96" ht="15.75" customHeight="1" s="39"/>
    <row r="97" ht="15.75" customHeight="1" s="39"/>
    <row r="98" ht="15.75" customHeight="1" s="39"/>
    <row r="99" ht="15.75" customHeight="1" s="39"/>
    <row r="100" ht="15.75" customHeight="1" s="39"/>
    <row r="101" ht="15.75" customHeight="1" s="39"/>
    <row r="102" ht="15.75" customHeight="1" s="39"/>
    <row r="103" ht="15.75" customHeight="1" s="39"/>
    <row r="104" ht="15.75" customHeight="1" s="39"/>
    <row r="105" ht="15.75" customHeight="1" s="39"/>
    <row r="106" ht="15.75" customHeight="1" s="39"/>
    <row r="107" ht="15.75" customHeight="1" s="39"/>
    <row r="108" ht="15.75" customHeight="1" s="39"/>
    <row r="109" ht="15.75" customHeight="1" s="39"/>
    <row r="110" ht="15.75" customHeight="1" s="39"/>
    <row r="111" ht="15.75" customHeight="1" s="39"/>
    <row r="112" ht="15.75" customHeight="1" s="39"/>
    <row r="113" ht="15.75" customHeight="1" s="39"/>
    <row r="114" ht="15.75" customHeight="1" s="39"/>
    <row r="115" ht="15.75" customHeight="1" s="39"/>
    <row r="116" ht="15.75" customHeight="1" s="39"/>
    <row r="117" ht="15.75" customHeight="1" s="39"/>
    <row r="118" ht="15.75" customHeight="1" s="39"/>
    <row r="119" ht="15.75" customHeight="1" s="39"/>
    <row r="120" ht="15.75" customHeight="1" s="39"/>
    <row r="121" ht="15.75" customHeight="1" s="39"/>
    <row r="122" ht="15.75" customHeight="1" s="39"/>
    <row r="123" ht="15.75" customHeight="1" s="39"/>
    <row r="124" ht="15.75" customHeight="1" s="39"/>
    <row r="125" ht="15.75" customHeight="1" s="39"/>
    <row r="126" ht="15.75" customHeight="1" s="39"/>
    <row r="127" ht="15.75" customHeight="1" s="39"/>
    <row r="128" ht="15.75" customHeight="1" s="39"/>
    <row r="129" ht="15.75" customHeight="1" s="39"/>
    <row r="130" ht="15.75" customHeight="1" s="39"/>
    <row r="131" ht="15.75" customHeight="1" s="39"/>
    <row r="132" ht="15.75" customHeight="1" s="39"/>
    <row r="133" ht="15.75" customHeight="1" s="39"/>
    <row r="134" ht="15.75" customHeight="1" s="39"/>
    <row r="135" ht="15.75" customHeight="1" s="39"/>
    <row r="136" ht="15.75" customHeight="1" s="39"/>
    <row r="137" ht="15.75" customHeight="1" s="39"/>
    <row r="138" ht="15.75" customHeight="1" s="39"/>
    <row r="139" ht="15.75" customHeight="1" s="39"/>
    <row r="140" ht="15.75" customHeight="1" s="39"/>
    <row r="141" ht="15.75" customHeight="1" s="39"/>
    <row r="142" ht="15.75" customHeight="1" s="39"/>
    <row r="143" ht="15.75" customHeight="1" s="39"/>
    <row r="144" ht="15.75" customHeight="1" s="39"/>
    <row r="145" ht="15.75" customHeight="1" s="39"/>
    <row r="146" ht="15.75" customHeight="1" s="39"/>
    <row r="147" ht="15.75" customHeight="1" s="39"/>
    <row r="148" ht="15.75" customHeight="1" s="39"/>
    <row r="149" ht="15.75" customHeight="1" s="39"/>
    <row r="150" ht="15.75" customHeight="1" s="39"/>
    <row r="151" ht="15.75" customHeight="1" s="39"/>
    <row r="152" ht="15.75" customHeight="1" s="39"/>
    <row r="153" ht="15.75" customHeight="1" s="39"/>
    <row r="154" ht="15.75" customHeight="1" s="39"/>
    <row r="155" ht="15.75" customHeight="1" s="39"/>
    <row r="156" ht="15.75" customHeight="1" s="39"/>
    <row r="157" ht="15.75" customHeight="1" s="39"/>
    <row r="158" ht="15.75" customHeight="1" s="39"/>
    <row r="159" ht="15.75" customHeight="1" s="39"/>
    <row r="160" ht="15.75" customHeight="1" s="39"/>
    <row r="161" ht="15.75" customHeight="1" s="39"/>
    <row r="162" ht="15.75" customHeight="1" s="39"/>
    <row r="163" ht="15.75" customHeight="1" s="39"/>
    <row r="164" ht="15.75" customHeight="1" s="39"/>
    <row r="165" ht="15.75" customHeight="1" s="39"/>
    <row r="166" ht="15.75" customHeight="1" s="39"/>
    <row r="167" ht="15.75" customHeight="1" s="39"/>
    <row r="168" ht="15.75" customHeight="1" s="39"/>
    <row r="169" ht="15.75" customHeight="1" s="39"/>
    <row r="170" ht="15.75" customHeight="1" s="39"/>
    <row r="171" ht="15.75" customHeight="1" s="39"/>
    <row r="172" ht="15.75" customHeight="1" s="39"/>
    <row r="173" ht="15.75" customHeight="1" s="39"/>
    <row r="174" ht="15.75" customHeight="1" s="39"/>
    <row r="175" ht="15.75" customHeight="1" s="39"/>
    <row r="176" ht="15.75" customHeight="1" s="39"/>
    <row r="177" ht="15.75" customHeight="1" s="39"/>
    <row r="178" ht="15.75" customHeight="1" s="39"/>
    <row r="179" ht="15.75" customHeight="1" s="39"/>
    <row r="180" ht="15.75" customHeight="1" s="39"/>
    <row r="181" ht="15.75" customHeight="1" s="39"/>
    <row r="182" ht="15.75" customHeight="1" s="39"/>
    <row r="183" ht="15.75" customHeight="1" s="39"/>
    <row r="184" ht="15.75" customHeight="1" s="39"/>
    <row r="185" ht="15.75" customHeight="1" s="39"/>
    <row r="186" ht="15.75" customHeight="1" s="39"/>
    <row r="187" ht="15.75" customHeight="1" s="39"/>
    <row r="188" ht="15.75" customHeight="1" s="39"/>
    <row r="189" ht="15.75" customHeight="1" s="39"/>
    <row r="190" ht="15.75" customHeight="1" s="39"/>
    <row r="191" ht="15.75" customHeight="1" s="39"/>
    <row r="192" ht="15.75" customHeight="1" s="39"/>
    <row r="193" ht="15.75" customHeight="1" s="39"/>
    <row r="194" ht="15.75" customHeight="1" s="39"/>
    <row r="195" ht="15.75" customHeight="1" s="39"/>
    <row r="196" ht="15.75" customHeight="1" s="39"/>
    <row r="197" ht="15.75" customHeight="1" s="39"/>
    <row r="198" ht="15.75" customHeight="1" s="39"/>
    <row r="199" ht="15.75" customHeight="1" s="39"/>
    <row r="200" ht="15.75" customHeight="1" s="39"/>
    <row r="201" ht="15.75" customHeight="1" s="39"/>
    <row r="202" ht="15.75" customHeight="1" s="39"/>
    <row r="203" ht="15.75" customHeight="1" s="39"/>
    <row r="204" ht="15.75" customHeight="1" s="39"/>
    <row r="205" ht="15.75" customHeight="1" s="39"/>
    <row r="206" ht="15.75" customHeight="1" s="39"/>
    <row r="207" ht="15.75" customHeight="1" s="39"/>
    <row r="208" ht="15.75" customHeight="1" s="39"/>
    <row r="209" ht="15.75" customHeight="1" s="39"/>
    <row r="210" ht="15.75" customHeight="1" s="39"/>
    <row r="211" ht="15.75" customHeight="1" s="39"/>
    <row r="212" ht="15.75" customHeight="1" s="39"/>
    <row r="213" ht="15.75" customHeight="1" s="39"/>
    <row r="214" ht="15.75" customHeight="1" s="39"/>
    <row r="215" ht="15.75" customHeight="1" s="39"/>
    <row r="216" ht="15.75" customHeight="1" s="39"/>
    <row r="217" ht="15.75" customHeight="1" s="39"/>
    <row r="218" ht="15.75" customHeight="1" s="39"/>
    <row r="219" ht="15.75" customHeight="1" s="39"/>
    <row r="220" ht="15.75" customHeight="1" s="39"/>
    <row r="221" ht="15.75" customHeight="1" s="39"/>
    <row r="222" ht="15.75" customHeight="1" s="39"/>
    <row r="223" ht="15.75" customHeight="1" s="39"/>
    <row r="224" ht="15.75" customHeight="1" s="39"/>
    <row r="225" ht="15.75" customHeight="1" s="39"/>
    <row r="226" ht="15.75" customHeight="1" s="39"/>
    <row r="227" ht="15.75" customHeight="1" s="39"/>
    <row r="228" ht="15.75" customHeight="1" s="39"/>
    <row r="229" ht="15.75" customHeight="1" s="39"/>
    <row r="230" ht="15.75" customHeight="1" s="39"/>
    <row r="231" ht="15.75" customHeight="1" s="39"/>
    <row r="232" ht="15.75" customHeight="1" s="39"/>
    <row r="233" ht="15.75" customHeight="1" s="39"/>
    <row r="234" ht="15.75" customHeight="1" s="39"/>
    <row r="235" ht="15.75" customHeight="1" s="39"/>
    <row r="236" ht="15.75" customHeight="1" s="39"/>
    <row r="237" ht="15.75" customHeight="1" s="39"/>
    <row r="238" ht="15.75" customHeight="1" s="39"/>
    <row r="239" ht="15.75" customHeight="1" s="39"/>
    <row r="240" ht="15.75" customHeight="1" s="39"/>
    <row r="241" ht="15.75" customHeight="1" s="39"/>
    <row r="242" ht="15.75" customHeight="1" s="39"/>
    <row r="243" ht="15.75" customHeight="1" s="39"/>
    <row r="244" ht="15.75" customHeight="1" s="39"/>
    <row r="245" ht="15.75" customHeight="1" s="39"/>
    <row r="246" ht="15.75" customHeight="1" s="39"/>
    <row r="247" ht="15.75" customHeight="1" s="39"/>
    <row r="248" ht="15.75" customHeight="1" s="39"/>
    <row r="249" ht="15.75" customHeight="1" s="39"/>
    <row r="250" ht="15.75" customHeight="1" s="39"/>
    <row r="251" ht="15.75" customHeight="1" s="39"/>
    <row r="252" ht="15.75" customHeight="1" s="39"/>
    <row r="253" ht="15.75" customHeight="1" s="39"/>
    <row r="254" ht="15.75" customHeight="1" s="39"/>
    <row r="255" ht="15.75" customHeight="1" s="39"/>
    <row r="256" ht="15.75" customHeight="1" s="39"/>
    <row r="257" ht="15.75" customHeight="1" s="39"/>
    <row r="258" ht="15.75" customHeight="1" s="39"/>
    <row r="259" ht="15.75" customHeight="1" s="39"/>
    <row r="260" ht="15.75" customHeight="1" s="39"/>
    <row r="261" ht="15.75" customHeight="1" s="39"/>
    <row r="262" ht="15.75" customHeight="1" s="39"/>
    <row r="263" ht="15.75" customHeight="1" s="39"/>
    <row r="264" ht="15.75" customHeight="1" s="39"/>
    <row r="265" ht="15.75" customHeight="1" s="39"/>
    <row r="266" ht="15.75" customHeight="1" s="39"/>
    <row r="267" ht="15.75" customHeight="1" s="39"/>
    <row r="268" ht="15.75" customHeight="1" s="39"/>
    <row r="269" ht="15.75" customHeight="1" s="39"/>
    <row r="270" ht="15.75" customHeight="1" s="39"/>
    <row r="271" ht="15.75" customHeight="1" s="39"/>
    <row r="272" ht="15.75" customHeight="1" s="39"/>
    <row r="273" ht="15.75" customHeight="1" s="39"/>
    <row r="274" ht="15.75" customHeight="1" s="39"/>
    <row r="275" ht="15.75" customHeight="1" s="39"/>
    <row r="276" ht="15.75" customHeight="1" s="39"/>
    <row r="277" ht="15.75" customHeight="1" s="39"/>
    <row r="278" ht="15.75" customHeight="1" s="39"/>
    <row r="279" ht="15.75" customHeight="1" s="39"/>
    <row r="280" ht="15.75" customHeight="1" s="39"/>
    <row r="281" ht="15.75" customHeight="1" s="39"/>
    <row r="282" ht="15.75" customHeight="1" s="39"/>
    <row r="283" ht="15.75" customHeight="1" s="39"/>
    <row r="284" ht="15.75" customHeight="1" s="39"/>
    <row r="285" ht="15.75" customHeight="1" s="39"/>
    <row r="286" ht="15.75" customHeight="1" s="39"/>
    <row r="287" ht="15.75" customHeight="1" s="39"/>
    <row r="288" ht="15.75" customHeight="1" s="39"/>
    <row r="289" ht="15.75" customHeight="1" s="39"/>
    <row r="290" ht="15.75" customHeight="1" s="39"/>
    <row r="291" ht="15.75" customHeight="1" s="39"/>
    <row r="292" ht="15.75" customHeight="1" s="39"/>
    <row r="293" ht="15.75" customHeight="1" s="39"/>
    <row r="294" ht="15.75" customHeight="1" s="39"/>
    <row r="295" ht="15.75" customHeight="1" s="39"/>
    <row r="296" ht="15.75" customHeight="1" s="39"/>
    <row r="297" ht="15.75" customHeight="1" s="39"/>
    <row r="298" ht="15.75" customHeight="1" s="39"/>
    <row r="299" ht="15.75" customHeight="1" s="39"/>
    <row r="300" ht="15.75" customHeight="1" s="39"/>
    <row r="301" ht="15.75" customHeight="1" s="39"/>
    <row r="302" ht="15.75" customHeight="1" s="39"/>
    <row r="303" ht="15.75" customHeight="1" s="39"/>
    <row r="304" ht="15.75" customHeight="1" s="39"/>
    <row r="305" ht="15.75" customHeight="1" s="39"/>
    <row r="306" ht="15.75" customHeight="1" s="39"/>
    <row r="307" ht="15.75" customHeight="1" s="39"/>
    <row r="308" ht="15.75" customHeight="1" s="39"/>
    <row r="309" ht="15.75" customHeight="1" s="39"/>
    <row r="310" ht="15.75" customHeight="1" s="39"/>
    <row r="311" ht="15.75" customHeight="1" s="39"/>
    <row r="312" ht="15.75" customHeight="1" s="39"/>
    <row r="313" ht="15.75" customHeight="1" s="39"/>
    <row r="314" ht="15.75" customHeight="1" s="39"/>
    <row r="315" ht="15.75" customHeight="1" s="39"/>
    <row r="316" ht="15.75" customHeight="1" s="39"/>
    <row r="317" ht="15.75" customHeight="1" s="39"/>
    <row r="318" ht="15.75" customHeight="1" s="39"/>
    <row r="319" ht="15.75" customHeight="1" s="39"/>
    <row r="320" ht="15.75" customHeight="1" s="39"/>
    <row r="321" ht="15.75" customHeight="1" s="39"/>
    <row r="322" ht="15.75" customHeight="1" s="39"/>
    <row r="323" ht="15.75" customHeight="1" s="39"/>
    <row r="324" ht="15.75" customHeight="1" s="39"/>
    <row r="325" ht="15.75" customHeight="1" s="39"/>
    <row r="326" ht="15.75" customHeight="1" s="39"/>
    <row r="327" ht="15.75" customHeight="1" s="39"/>
    <row r="328" ht="15.75" customHeight="1" s="39"/>
    <row r="329" ht="15.75" customHeight="1" s="39"/>
    <row r="330" ht="15.75" customHeight="1" s="39"/>
    <row r="331" ht="15.75" customHeight="1" s="39"/>
    <row r="332" ht="15.75" customHeight="1" s="39"/>
    <row r="333" ht="15.75" customHeight="1" s="39"/>
    <row r="334" ht="15.75" customHeight="1" s="39"/>
    <row r="335" ht="15.75" customHeight="1" s="39"/>
    <row r="336" ht="15.75" customHeight="1" s="39"/>
    <row r="337" ht="15.75" customHeight="1" s="39"/>
    <row r="338" ht="15.75" customHeight="1" s="39"/>
    <row r="339" ht="15.75" customHeight="1" s="39"/>
    <row r="340" ht="15.75" customHeight="1" s="39"/>
    <row r="341" ht="15.75" customHeight="1" s="39"/>
    <row r="342" ht="15.75" customHeight="1" s="39"/>
    <row r="343" ht="15.75" customHeight="1" s="39"/>
    <row r="344" ht="15.75" customHeight="1" s="39"/>
    <row r="345" ht="15.75" customHeight="1" s="39"/>
    <row r="346" ht="15.75" customHeight="1" s="39"/>
    <row r="347" ht="15.75" customHeight="1" s="39"/>
    <row r="348" ht="15.75" customHeight="1" s="39"/>
    <row r="349" ht="15.75" customHeight="1" s="39"/>
    <row r="350" ht="15.75" customHeight="1" s="39"/>
    <row r="351" ht="15.75" customHeight="1" s="39"/>
    <row r="352" ht="15.75" customHeight="1" s="39"/>
    <row r="353" ht="15.75" customHeight="1" s="39"/>
    <row r="354" ht="15.75" customHeight="1" s="39"/>
    <row r="355" ht="15.75" customHeight="1" s="39"/>
    <row r="356" ht="15.75" customHeight="1" s="39"/>
    <row r="357" ht="15.75" customHeight="1" s="39"/>
    <row r="358" ht="15.75" customHeight="1" s="39"/>
    <row r="359" ht="15.75" customHeight="1" s="39"/>
    <row r="360" ht="15.75" customHeight="1" s="39"/>
    <row r="361" ht="15.75" customHeight="1" s="39"/>
    <row r="362" ht="15.75" customHeight="1" s="39"/>
    <row r="363" ht="15.75" customHeight="1" s="39"/>
    <row r="364" ht="15.75" customHeight="1" s="39"/>
    <row r="365" ht="15.75" customHeight="1" s="39"/>
    <row r="366" ht="15.75" customHeight="1" s="39"/>
    <row r="367" ht="15.75" customHeight="1" s="39"/>
    <row r="368" ht="15.75" customHeight="1" s="39"/>
    <row r="369" ht="15.75" customHeight="1" s="39"/>
    <row r="370" ht="15.75" customHeight="1" s="39"/>
    <row r="371" ht="15.75" customHeight="1" s="39"/>
    <row r="372" ht="15.75" customHeight="1" s="39"/>
    <row r="373" ht="15.75" customHeight="1" s="39"/>
    <row r="374" ht="15.75" customHeight="1" s="39"/>
    <row r="375" ht="15.75" customHeight="1" s="39"/>
    <row r="376" ht="15.75" customHeight="1" s="39"/>
    <row r="377" ht="15.75" customHeight="1" s="39"/>
    <row r="378" ht="15.75" customHeight="1" s="39"/>
    <row r="379" ht="15.75" customHeight="1" s="39"/>
    <row r="380" ht="15.75" customHeight="1" s="39"/>
    <row r="381" ht="15.75" customHeight="1" s="39"/>
    <row r="382" ht="15.75" customHeight="1" s="39"/>
    <row r="383" ht="15.75" customHeight="1" s="39"/>
    <row r="384" ht="15.75" customHeight="1" s="39"/>
    <row r="385" ht="15.75" customHeight="1" s="39"/>
    <row r="386" ht="15.75" customHeight="1" s="39"/>
    <row r="387" ht="15.75" customHeight="1" s="39"/>
    <row r="388" ht="15.75" customHeight="1" s="39"/>
    <row r="389" ht="15.75" customHeight="1" s="39"/>
    <row r="390" ht="15.75" customHeight="1" s="39"/>
    <row r="391" ht="15.75" customHeight="1" s="39"/>
    <row r="392" ht="15.75" customHeight="1" s="39"/>
    <row r="393" ht="15.75" customHeight="1" s="39"/>
    <row r="394" ht="15.75" customHeight="1" s="39"/>
    <row r="395" ht="15.75" customHeight="1" s="39"/>
    <row r="396" ht="15.75" customHeight="1" s="39"/>
    <row r="397" ht="15.75" customHeight="1" s="39"/>
    <row r="398" ht="15.75" customHeight="1" s="39"/>
    <row r="399" ht="15.75" customHeight="1" s="39"/>
    <row r="400" ht="15.75" customHeight="1" s="39"/>
    <row r="401" ht="15.75" customHeight="1" s="39"/>
    <row r="402" ht="15.75" customHeight="1" s="39"/>
    <row r="403" ht="15.75" customHeight="1" s="39"/>
    <row r="404" ht="15.75" customHeight="1" s="39"/>
    <row r="405" ht="15.75" customHeight="1" s="39"/>
    <row r="406" ht="15.75" customHeight="1" s="39"/>
    <row r="407" ht="15.75" customHeight="1" s="39"/>
    <row r="408" ht="15.75" customHeight="1" s="39"/>
    <row r="409" ht="15.75" customHeight="1" s="39"/>
    <row r="410" ht="15.75" customHeight="1" s="39"/>
    <row r="411" ht="15.75" customHeight="1" s="39"/>
    <row r="412" ht="15.75" customHeight="1" s="39"/>
    <row r="413" ht="15.75" customHeight="1" s="39"/>
    <row r="414" ht="15.75" customHeight="1" s="39"/>
    <row r="415" ht="15.75" customHeight="1" s="39"/>
    <row r="416" ht="15.75" customHeight="1" s="39"/>
    <row r="417" ht="15.75" customHeight="1" s="39"/>
    <row r="418" ht="15.75" customHeight="1" s="39"/>
    <row r="419" ht="15.75" customHeight="1" s="39"/>
    <row r="420" ht="15.75" customHeight="1" s="39"/>
    <row r="421" ht="15.75" customHeight="1" s="39"/>
    <row r="422" ht="15.75" customHeight="1" s="39"/>
    <row r="423" ht="15.75" customHeight="1" s="39"/>
    <row r="424" ht="15.75" customHeight="1" s="39"/>
    <row r="425" ht="15.75" customHeight="1" s="39"/>
    <row r="426" ht="15.75" customHeight="1" s="39"/>
    <row r="427" ht="15.75" customHeight="1" s="39"/>
    <row r="428" ht="15.75" customHeight="1" s="39"/>
    <row r="429" ht="15.75" customHeight="1" s="39"/>
    <row r="430" ht="15.75" customHeight="1" s="39"/>
    <row r="431" ht="15.75" customHeight="1" s="39"/>
    <row r="432" ht="15.75" customHeight="1" s="39"/>
    <row r="433" ht="15.75" customHeight="1" s="39"/>
    <row r="434" ht="15.75" customHeight="1" s="39"/>
    <row r="435" ht="15.75" customHeight="1" s="39"/>
    <row r="436" ht="15.75" customHeight="1" s="39"/>
    <row r="437" ht="15.75" customHeight="1" s="39"/>
    <row r="438" ht="15.75" customHeight="1" s="39"/>
    <row r="439" ht="15.75" customHeight="1" s="39"/>
    <row r="440" ht="15.75" customHeight="1" s="39"/>
    <row r="441" ht="15.75" customHeight="1" s="39"/>
    <row r="442" ht="15.75" customHeight="1" s="39"/>
    <row r="443" ht="15.75" customHeight="1" s="39"/>
    <row r="444" ht="15.75" customHeight="1" s="39"/>
    <row r="445" ht="15.75" customHeight="1" s="39"/>
    <row r="446" ht="15.75" customHeight="1" s="39"/>
    <row r="447" ht="15.75" customHeight="1" s="39"/>
    <row r="448" ht="15.75" customHeight="1" s="39"/>
    <row r="449" ht="15.75" customHeight="1" s="39"/>
    <row r="450" ht="15.75" customHeight="1" s="39"/>
    <row r="451" ht="15.75" customHeight="1" s="39"/>
    <row r="452" ht="15.75" customHeight="1" s="39"/>
    <row r="453" ht="15.75" customHeight="1" s="39"/>
    <row r="454" ht="15.75" customHeight="1" s="39"/>
    <row r="455" ht="15.75" customHeight="1" s="39"/>
    <row r="456" ht="15.75" customHeight="1" s="39"/>
    <row r="457" ht="15.75" customHeight="1" s="39"/>
    <row r="458" ht="15.75" customHeight="1" s="39"/>
    <row r="459" ht="15.75" customHeight="1" s="39"/>
    <row r="460" ht="15.75" customHeight="1" s="39"/>
    <row r="461" ht="15.75" customHeight="1" s="39"/>
    <row r="462" ht="15.75" customHeight="1" s="39"/>
    <row r="463" ht="15.75" customHeight="1" s="39"/>
    <row r="464" ht="15.75" customHeight="1" s="39"/>
    <row r="465" ht="15.75" customHeight="1" s="39"/>
    <row r="466" ht="15.75" customHeight="1" s="39"/>
    <row r="467" ht="15.75" customHeight="1" s="39"/>
    <row r="468" ht="15.75" customHeight="1" s="39"/>
    <row r="469" ht="15.75" customHeight="1" s="39"/>
    <row r="470" ht="15.75" customHeight="1" s="39"/>
    <row r="471" ht="15.75" customHeight="1" s="39"/>
    <row r="472" ht="15.75" customHeight="1" s="39"/>
    <row r="473" ht="15.75" customHeight="1" s="39"/>
    <row r="474" ht="15.75" customHeight="1" s="39"/>
    <row r="475" ht="15.75" customHeight="1" s="39"/>
    <row r="476" ht="15.75" customHeight="1" s="39"/>
    <row r="477" ht="15.75" customHeight="1" s="39"/>
    <row r="478" ht="15.75" customHeight="1" s="39"/>
    <row r="479" ht="15.75" customHeight="1" s="39"/>
    <row r="480" ht="15.75" customHeight="1" s="39"/>
    <row r="481" ht="15.75" customHeight="1" s="39"/>
    <row r="482" ht="15.75" customHeight="1" s="39"/>
    <row r="483" ht="15.75" customHeight="1" s="39"/>
    <row r="484" ht="15.75" customHeight="1" s="39"/>
    <row r="485" ht="15.75" customHeight="1" s="39"/>
    <row r="486" ht="15.75" customHeight="1" s="39"/>
    <row r="487" ht="15.75" customHeight="1" s="39"/>
    <row r="488" ht="15.75" customHeight="1" s="39"/>
    <row r="489" ht="15.75" customHeight="1" s="39"/>
    <row r="490" ht="15.75" customHeight="1" s="39"/>
    <row r="491" ht="15.75" customHeight="1" s="39"/>
    <row r="492" ht="15.75" customHeight="1" s="39"/>
    <row r="493" ht="15.75" customHeight="1" s="39"/>
    <row r="494" ht="15.75" customHeight="1" s="39"/>
    <row r="495" ht="15.75" customHeight="1" s="39"/>
    <row r="496" ht="15.75" customHeight="1" s="39"/>
    <row r="497" ht="15.75" customHeight="1" s="39"/>
    <row r="498" ht="15.75" customHeight="1" s="39"/>
    <row r="499" ht="15.75" customHeight="1" s="39"/>
    <row r="500" ht="15.75" customHeight="1" s="39"/>
    <row r="501" ht="15.75" customHeight="1" s="39"/>
    <row r="502" ht="15.75" customHeight="1" s="39"/>
    <row r="503" ht="15.75" customHeight="1" s="39"/>
    <row r="504" ht="15.75" customHeight="1" s="39"/>
    <row r="505" ht="15.75" customHeight="1" s="39"/>
    <row r="506" ht="15.75" customHeight="1" s="39"/>
    <row r="507" ht="15.75" customHeight="1" s="39"/>
    <row r="508" ht="15.75" customHeight="1" s="39"/>
    <row r="509" ht="15.75" customHeight="1" s="39"/>
    <row r="510" ht="15.75" customHeight="1" s="39"/>
    <row r="511" ht="15.75" customHeight="1" s="39"/>
    <row r="512" ht="15.75" customHeight="1" s="39"/>
    <row r="513" ht="15.75" customHeight="1" s="39"/>
    <row r="514" ht="15.75" customHeight="1" s="39"/>
    <row r="515" ht="15.75" customHeight="1" s="39"/>
    <row r="516" ht="15.75" customHeight="1" s="39"/>
    <row r="517" ht="15.75" customHeight="1" s="39"/>
    <row r="518" ht="15.75" customHeight="1" s="39"/>
    <row r="519" ht="15.75" customHeight="1" s="39"/>
    <row r="520" ht="15.75" customHeight="1" s="39"/>
    <row r="521" ht="15.75" customHeight="1" s="39"/>
    <row r="522" ht="15.75" customHeight="1" s="39"/>
    <row r="523" ht="15.75" customHeight="1" s="39"/>
    <row r="524" ht="15.75" customHeight="1" s="39"/>
    <row r="525" ht="15.75" customHeight="1" s="39"/>
    <row r="526" ht="15.75" customHeight="1" s="39"/>
    <row r="527" ht="15.75" customHeight="1" s="39"/>
    <row r="528" ht="15.75" customHeight="1" s="39"/>
    <row r="529" ht="15.75" customHeight="1" s="39"/>
    <row r="530" ht="15.75" customHeight="1" s="39"/>
    <row r="531" ht="15.75" customHeight="1" s="39"/>
    <row r="532" ht="15.75" customHeight="1" s="39"/>
    <row r="533" ht="15.75" customHeight="1" s="39"/>
    <row r="534" ht="15.75" customHeight="1" s="39"/>
    <row r="535" ht="15.75" customHeight="1" s="39"/>
    <row r="536" ht="15.75" customHeight="1" s="39"/>
    <row r="537" ht="15.75" customHeight="1" s="39"/>
    <row r="538" ht="15.75" customHeight="1" s="39"/>
    <row r="539" ht="15.75" customHeight="1" s="39"/>
    <row r="540" ht="15.75" customHeight="1" s="39"/>
    <row r="541" ht="15.75" customHeight="1" s="39"/>
    <row r="542" ht="15.75" customHeight="1" s="39"/>
    <row r="543" ht="15.75" customHeight="1" s="39"/>
    <row r="544" ht="15.75" customHeight="1" s="39"/>
    <row r="545" ht="15.75" customHeight="1" s="39"/>
    <row r="546" ht="15.75" customHeight="1" s="39"/>
    <row r="547" ht="15.75" customHeight="1" s="39"/>
    <row r="548" ht="15.75" customHeight="1" s="39"/>
    <row r="549" ht="15.75" customHeight="1" s="39"/>
    <row r="550" ht="15.75" customHeight="1" s="39"/>
    <row r="551" ht="15.75" customHeight="1" s="39"/>
    <row r="552" ht="15.75" customHeight="1" s="39"/>
    <row r="553" ht="15.75" customHeight="1" s="39"/>
    <row r="554" ht="15.75" customHeight="1" s="39"/>
    <row r="555" ht="15.75" customHeight="1" s="39"/>
    <row r="556" ht="15.75" customHeight="1" s="39"/>
    <row r="557" ht="15.75" customHeight="1" s="39"/>
    <row r="558" ht="15.75" customHeight="1" s="39"/>
    <row r="559" ht="15.75" customHeight="1" s="39"/>
    <row r="560" ht="15.75" customHeight="1" s="39"/>
    <row r="561" ht="15.75" customHeight="1" s="39"/>
    <row r="562" ht="15.75" customHeight="1" s="39"/>
    <row r="563" ht="15.75" customHeight="1" s="39"/>
    <row r="564" ht="15.75" customHeight="1" s="39"/>
    <row r="565" ht="15.75" customHeight="1" s="39"/>
    <row r="566" ht="15.75" customHeight="1" s="39"/>
    <row r="567" ht="15.75" customHeight="1" s="39"/>
    <row r="568" ht="15.75" customHeight="1" s="39"/>
    <row r="569" ht="15.75" customHeight="1" s="39"/>
    <row r="570" ht="15.75" customHeight="1" s="39"/>
    <row r="571" ht="15.75" customHeight="1" s="39"/>
    <row r="572" ht="15.75" customHeight="1" s="39"/>
    <row r="573" ht="15.75" customHeight="1" s="39"/>
    <row r="574" ht="15.75" customHeight="1" s="39"/>
    <row r="575" ht="15.75" customHeight="1" s="39"/>
    <row r="576" ht="15.75" customHeight="1" s="39"/>
    <row r="577" ht="15.75" customHeight="1" s="39"/>
    <row r="578" ht="15.75" customHeight="1" s="39"/>
    <row r="579" ht="15.75" customHeight="1" s="39"/>
    <row r="580" ht="15.75" customHeight="1" s="39"/>
    <row r="581" ht="15.75" customHeight="1" s="39"/>
    <row r="582" ht="15.75" customHeight="1" s="39"/>
    <row r="583" ht="15.75" customHeight="1" s="39"/>
    <row r="584" ht="15.75" customHeight="1" s="39"/>
    <row r="585" ht="15.75" customHeight="1" s="39"/>
    <row r="586" ht="15.75" customHeight="1" s="39"/>
    <row r="587" ht="15.75" customHeight="1" s="39"/>
    <row r="588" ht="15.75" customHeight="1" s="39"/>
    <row r="589" ht="15.75" customHeight="1" s="39"/>
    <row r="590" ht="15.75" customHeight="1" s="39"/>
    <row r="591" ht="15.75" customHeight="1" s="39"/>
    <row r="592" ht="15.75" customHeight="1" s="39"/>
    <row r="593" ht="15.75" customHeight="1" s="39"/>
    <row r="594" ht="15.75" customHeight="1" s="39"/>
    <row r="595" ht="15.75" customHeight="1" s="39"/>
    <row r="596" ht="15.75" customHeight="1" s="39"/>
    <row r="597" ht="15.75" customHeight="1" s="39"/>
    <row r="598" ht="15.75" customHeight="1" s="39"/>
    <row r="599" ht="15.75" customHeight="1" s="39"/>
    <row r="600" ht="15.75" customHeight="1" s="39"/>
    <row r="601" ht="15.75" customHeight="1" s="39"/>
    <row r="602" ht="15.75" customHeight="1" s="39"/>
    <row r="603" ht="15.75" customHeight="1" s="39"/>
    <row r="604" ht="15.75" customHeight="1" s="39"/>
    <row r="605" ht="15.75" customHeight="1" s="39"/>
    <row r="606" ht="15.75" customHeight="1" s="39"/>
    <row r="607" ht="15.75" customHeight="1" s="39"/>
    <row r="608" ht="15.75" customHeight="1" s="39"/>
    <row r="609" ht="15.75" customHeight="1" s="39"/>
    <row r="610" ht="15.75" customHeight="1" s="39"/>
    <row r="611" ht="15.75" customHeight="1" s="39"/>
    <row r="612" ht="15.75" customHeight="1" s="39"/>
    <row r="613" ht="15.75" customHeight="1" s="39"/>
    <row r="614" ht="15.75" customHeight="1" s="39"/>
    <row r="615" ht="15.75" customHeight="1" s="39"/>
    <row r="616" ht="15.75" customHeight="1" s="39"/>
    <row r="617" ht="15.75" customHeight="1" s="39"/>
    <row r="618" ht="15.75" customHeight="1" s="39"/>
    <row r="619" ht="15.75" customHeight="1" s="39"/>
    <row r="620" ht="15.75" customHeight="1" s="39"/>
    <row r="621" ht="15.75" customHeight="1" s="39"/>
    <row r="622" ht="15.75" customHeight="1" s="39"/>
    <row r="623" ht="15.75" customHeight="1" s="39"/>
    <row r="624" ht="15.75" customHeight="1" s="39"/>
    <row r="625" ht="15.75" customHeight="1" s="39"/>
    <row r="626" ht="15.75" customHeight="1" s="39"/>
    <row r="627" ht="15.75" customHeight="1" s="39"/>
    <row r="628" ht="15.75" customHeight="1" s="39"/>
    <row r="629" ht="15.75" customHeight="1" s="39"/>
    <row r="630" ht="15.75" customHeight="1" s="39"/>
    <row r="631" ht="15.75" customHeight="1" s="39"/>
    <row r="632" ht="15.75" customHeight="1" s="39"/>
    <row r="633" ht="15.75" customHeight="1" s="39"/>
    <row r="634" ht="15.75" customHeight="1" s="39"/>
    <row r="635" ht="15.75" customHeight="1" s="39"/>
    <row r="636" ht="15.75" customHeight="1" s="39"/>
    <row r="637" ht="15.75" customHeight="1" s="39"/>
    <row r="638" ht="15.75" customHeight="1" s="39"/>
    <row r="639" ht="15.75" customHeight="1" s="39"/>
    <row r="640" ht="15.75" customHeight="1" s="39"/>
    <row r="641" ht="15.75" customHeight="1" s="39"/>
    <row r="642" ht="15.75" customHeight="1" s="39"/>
    <row r="643" ht="15.75" customHeight="1" s="39"/>
    <row r="644" ht="15.75" customHeight="1" s="39"/>
    <row r="645" ht="15.75" customHeight="1" s="39"/>
    <row r="646" ht="15.75" customHeight="1" s="39"/>
    <row r="647" ht="15.75" customHeight="1" s="39"/>
    <row r="648" ht="15.75" customHeight="1" s="39"/>
    <row r="649" ht="15.75" customHeight="1" s="39"/>
    <row r="650" ht="15.75" customHeight="1" s="39"/>
    <row r="651" ht="15.75" customHeight="1" s="39"/>
    <row r="652" ht="15.75" customHeight="1" s="39"/>
    <row r="653" ht="15.75" customHeight="1" s="39"/>
    <row r="654" ht="15.75" customHeight="1" s="39"/>
    <row r="655" ht="15.75" customHeight="1" s="39"/>
    <row r="656" ht="15.75" customHeight="1" s="39"/>
    <row r="657" ht="15.75" customHeight="1" s="39"/>
    <row r="658" ht="15.75" customHeight="1" s="39"/>
    <row r="659" ht="15.75" customHeight="1" s="39"/>
    <row r="660" ht="15.75" customHeight="1" s="39"/>
    <row r="661" ht="15.75" customHeight="1" s="39"/>
    <row r="662" ht="15.75" customHeight="1" s="39"/>
    <row r="663" ht="15.75" customHeight="1" s="39"/>
    <row r="664" ht="15.75" customHeight="1" s="39"/>
    <row r="665" ht="15.75" customHeight="1" s="39"/>
    <row r="666" ht="15.75" customHeight="1" s="39"/>
    <row r="667" ht="15.75" customHeight="1" s="39"/>
    <row r="668" ht="15.75" customHeight="1" s="39"/>
    <row r="669" ht="15.75" customHeight="1" s="39"/>
    <row r="670" ht="15.75" customHeight="1" s="39"/>
    <row r="671" ht="15.75" customHeight="1" s="39"/>
    <row r="672" ht="15.75" customHeight="1" s="39"/>
    <row r="673" ht="15.75" customHeight="1" s="39"/>
    <row r="674" ht="15.75" customHeight="1" s="39"/>
    <row r="675" ht="15.75" customHeight="1" s="39"/>
    <row r="676" ht="15.75" customHeight="1" s="39"/>
    <row r="677" ht="15.75" customHeight="1" s="39"/>
    <row r="678" ht="15.75" customHeight="1" s="39"/>
    <row r="679" ht="15.75" customHeight="1" s="39"/>
    <row r="680" ht="15.75" customHeight="1" s="39"/>
    <row r="681" ht="15.75" customHeight="1" s="39"/>
    <row r="682" ht="15.75" customHeight="1" s="39"/>
    <row r="683" ht="15.75" customHeight="1" s="39"/>
    <row r="684" ht="15.75" customHeight="1" s="39"/>
    <row r="685" ht="15.75" customHeight="1" s="39"/>
    <row r="686" ht="15.75" customHeight="1" s="39"/>
    <row r="687" ht="15.75" customHeight="1" s="39"/>
    <row r="688" ht="15.75" customHeight="1" s="39"/>
    <row r="689" ht="15.75" customHeight="1" s="39"/>
    <row r="690" ht="15.75" customHeight="1" s="39"/>
    <row r="691" ht="15.75" customHeight="1" s="39"/>
    <row r="692" ht="15.75" customHeight="1" s="39"/>
    <row r="693" ht="15.75" customHeight="1" s="39"/>
    <row r="694" ht="15.75" customHeight="1" s="39"/>
    <row r="695" ht="15.75" customHeight="1" s="39"/>
    <row r="696" ht="15.75" customHeight="1" s="39"/>
    <row r="697" ht="15.75" customHeight="1" s="39"/>
    <row r="698" ht="15.75" customHeight="1" s="39"/>
    <row r="699" ht="15.75" customHeight="1" s="39"/>
    <row r="700" ht="15.75" customHeight="1" s="39"/>
    <row r="701" ht="15.75" customHeight="1" s="39"/>
    <row r="702" ht="15.75" customHeight="1" s="39"/>
    <row r="703" ht="15.75" customHeight="1" s="39"/>
    <row r="704" ht="15.75" customHeight="1" s="39"/>
    <row r="705" ht="15.75" customHeight="1" s="39"/>
    <row r="706" ht="15.75" customHeight="1" s="39"/>
    <row r="707" ht="15.75" customHeight="1" s="39"/>
    <row r="708" ht="15.75" customHeight="1" s="39"/>
    <row r="709" ht="15.75" customHeight="1" s="39"/>
    <row r="710" ht="15.75" customHeight="1" s="39"/>
    <row r="711" ht="15.75" customHeight="1" s="39"/>
    <row r="712" ht="15.75" customHeight="1" s="39"/>
    <row r="713" ht="15.75" customHeight="1" s="39"/>
    <row r="714" ht="15.75" customHeight="1" s="39"/>
    <row r="715" ht="15.75" customHeight="1" s="39"/>
    <row r="716" ht="15.75" customHeight="1" s="39"/>
    <row r="717" ht="15.75" customHeight="1" s="39"/>
    <row r="718" ht="15.75" customHeight="1" s="39"/>
    <row r="719" ht="15.75" customHeight="1" s="39"/>
    <row r="720" ht="15.75" customHeight="1" s="39"/>
    <row r="721" ht="15.75" customHeight="1" s="39"/>
    <row r="722" ht="15.75" customHeight="1" s="39"/>
    <row r="723" ht="15.75" customHeight="1" s="39"/>
    <row r="724" ht="15.75" customHeight="1" s="39"/>
    <row r="725" ht="15.75" customHeight="1" s="39"/>
    <row r="726" ht="15.75" customHeight="1" s="39"/>
    <row r="727" ht="15.75" customHeight="1" s="39"/>
    <row r="728" ht="15.75" customHeight="1" s="39"/>
    <row r="729" ht="15.75" customHeight="1" s="39"/>
    <row r="730" ht="15.75" customHeight="1" s="39"/>
    <row r="731" ht="15.75" customHeight="1" s="39"/>
    <row r="732" ht="15.75" customHeight="1" s="39"/>
    <row r="733" ht="15.75" customHeight="1" s="39"/>
    <row r="734" ht="15.75" customHeight="1" s="39"/>
    <row r="735" ht="15.75" customHeight="1" s="39"/>
    <row r="736" ht="15.75" customHeight="1" s="39"/>
    <row r="737" ht="15.75" customHeight="1" s="39"/>
    <row r="738" ht="15.75" customHeight="1" s="39"/>
    <row r="739" ht="15.75" customHeight="1" s="39"/>
    <row r="740" ht="15.75" customHeight="1" s="39"/>
    <row r="741" ht="15.75" customHeight="1" s="39"/>
    <row r="742" ht="15.75" customHeight="1" s="39"/>
    <row r="743" ht="15.75" customHeight="1" s="39"/>
    <row r="744" ht="15.75" customHeight="1" s="39"/>
    <row r="745" ht="15.75" customHeight="1" s="39"/>
    <row r="746" ht="15.75" customHeight="1" s="39"/>
    <row r="747" ht="15.75" customHeight="1" s="39"/>
    <row r="748" ht="15.75" customHeight="1" s="39"/>
    <row r="749" ht="15.75" customHeight="1" s="39"/>
    <row r="750" ht="15.75" customHeight="1" s="39"/>
    <row r="751" ht="15.75" customHeight="1" s="39"/>
    <row r="752" ht="15.75" customHeight="1" s="39"/>
    <row r="753" ht="15.75" customHeight="1" s="39"/>
    <row r="754" ht="15.75" customHeight="1" s="39"/>
    <row r="755" ht="15.75" customHeight="1" s="39"/>
    <row r="756" ht="15.75" customHeight="1" s="39"/>
    <row r="757" ht="15.75" customHeight="1" s="39"/>
    <row r="758" ht="15.75" customHeight="1" s="39"/>
    <row r="759" ht="15.75" customHeight="1" s="39"/>
    <row r="760" ht="15.75" customHeight="1" s="39"/>
    <row r="761" ht="15.75" customHeight="1" s="39"/>
    <row r="762" ht="15.75" customHeight="1" s="39"/>
    <row r="763" ht="15.75" customHeight="1" s="39"/>
    <row r="764" ht="15.75" customHeight="1" s="39"/>
    <row r="765" ht="15.75" customHeight="1" s="39"/>
    <row r="766" ht="15.75" customHeight="1" s="39"/>
    <row r="767" ht="15.75" customHeight="1" s="39"/>
    <row r="768" ht="15.75" customHeight="1" s="39"/>
    <row r="769" ht="15.75" customHeight="1" s="39"/>
    <row r="770" ht="15.75" customHeight="1" s="39"/>
    <row r="771" ht="15.75" customHeight="1" s="39"/>
    <row r="772" ht="15.75" customHeight="1" s="39"/>
    <row r="773" ht="15.75" customHeight="1" s="39"/>
    <row r="774" ht="15.75" customHeight="1" s="39"/>
    <row r="775" ht="15.75" customHeight="1" s="39"/>
    <row r="776" ht="15.75" customHeight="1" s="39"/>
    <row r="777" ht="15.75" customHeight="1" s="39"/>
    <row r="778" ht="15.75" customHeight="1" s="39"/>
    <row r="779" ht="15.75" customHeight="1" s="39"/>
    <row r="780" ht="15.75" customHeight="1" s="39"/>
    <row r="781" ht="15.75" customHeight="1" s="39"/>
    <row r="782" ht="15.75" customHeight="1" s="39"/>
    <row r="783" ht="15.75" customHeight="1" s="39"/>
    <row r="784" ht="15.75" customHeight="1" s="39"/>
    <row r="785" ht="15.75" customHeight="1" s="39"/>
    <row r="786" ht="15.75" customHeight="1" s="39"/>
    <row r="787" ht="15.75" customHeight="1" s="39"/>
    <row r="788" ht="15.75" customHeight="1" s="39"/>
    <row r="789" ht="15.75" customHeight="1" s="39"/>
    <row r="790" ht="15.75" customHeight="1" s="39"/>
    <row r="791" ht="15.75" customHeight="1" s="39"/>
    <row r="792" ht="15.75" customHeight="1" s="39"/>
    <row r="793" ht="15.75" customHeight="1" s="39"/>
    <row r="794" ht="15.75" customHeight="1" s="39"/>
    <row r="795" ht="15.75" customHeight="1" s="39"/>
    <row r="796" ht="15.75" customHeight="1" s="39"/>
    <row r="797" ht="15.75" customHeight="1" s="39"/>
    <row r="798" ht="15.75" customHeight="1" s="39"/>
    <row r="799" ht="15.75" customHeight="1" s="39"/>
    <row r="800" ht="15.75" customHeight="1" s="39"/>
    <row r="801" ht="15.75" customHeight="1" s="39"/>
    <row r="802" ht="15.75" customHeight="1" s="39"/>
    <row r="803" ht="15.75" customHeight="1" s="39"/>
    <row r="804" ht="15.75" customHeight="1" s="39"/>
    <row r="805" ht="15.75" customHeight="1" s="39"/>
    <row r="806" ht="15.75" customHeight="1" s="39"/>
    <row r="807" ht="15.75" customHeight="1" s="39"/>
    <row r="808" ht="15.75" customHeight="1" s="39"/>
    <row r="809" ht="15.75" customHeight="1" s="39"/>
    <row r="810" ht="15.75" customHeight="1" s="39"/>
    <row r="811" ht="15.75" customHeight="1" s="39"/>
    <row r="812" ht="15.75" customHeight="1" s="39"/>
    <row r="813" ht="15.75" customHeight="1" s="39"/>
    <row r="814" ht="15.75" customHeight="1" s="39"/>
    <row r="815" ht="15.75" customHeight="1" s="39"/>
    <row r="816" ht="15.75" customHeight="1" s="39"/>
    <row r="817" ht="15.75" customHeight="1" s="39"/>
    <row r="818" ht="15.75" customHeight="1" s="39"/>
    <row r="819" ht="15.75" customHeight="1" s="39"/>
    <row r="820" ht="15.75" customHeight="1" s="39"/>
    <row r="821" ht="15.75" customHeight="1" s="39"/>
    <row r="822" ht="15.75" customHeight="1" s="39"/>
    <row r="823" ht="15.75" customHeight="1" s="39"/>
    <row r="824" ht="15.75" customHeight="1" s="39"/>
    <row r="825" ht="15.75" customHeight="1" s="39"/>
    <row r="826" ht="15.75" customHeight="1" s="39"/>
    <row r="827" ht="15.75" customHeight="1" s="39"/>
    <row r="828" ht="15.75" customHeight="1" s="39"/>
    <row r="829" ht="15.75" customHeight="1" s="39"/>
    <row r="830" ht="15.75" customHeight="1" s="39"/>
    <row r="831" ht="15.75" customHeight="1" s="39"/>
    <row r="832" ht="15.75" customHeight="1" s="39"/>
    <row r="833" ht="15.75" customHeight="1" s="39"/>
    <row r="834" ht="15.75" customHeight="1" s="39"/>
    <row r="835" ht="15.75" customHeight="1" s="39"/>
    <row r="836" ht="15.75" customHeight="1" s="39"/>
    <row r="837" ht="15.75" customHeight="1" s="39"/>
    <row r="838" ht="15.75" customHeight="1" s="39"/>
    <row r="839" ht="15.75" customHeight="1" s="39"/>
    <row r="840" ht="15.75" customHeight="1" s="39"/>
    <row r="841" ht="15.75" customHeight="1" s="39"/>
    <row r="842" ht="15.75" customHeight="1" s="39"/>
    <row r="843" ht="15.75" customHeight="1" s="39"/>
    <row r="844" ht="15.75" customHeight="1" s="39"/>
    <row r="845" ht="15.75" customHeight="1" s="39"/>
    <row r="846" ht="15.75" customHeight="1" s="39"/>
    <row r="847" ht="15.75" customHeight="1" s="39"/>
    <row r="848" ht="15.75" customHeight="1" s="39"/>
    <row r="849" ht="15.75" customHeight="1" s="39"/>
    <row r="850" ht="15.75" customHeight="1" s="39"/>
    <row r="851" ht="15.75" customHeight="1" s="39"/>
    <row r="852" ht="15.75" customHeight="1" s="39"/>
    <row r="853" ht="15.75" customHeight="1" s="39"/>
    <row r="854" ht="15.75" customHeight="1" s="39"/>
    <row r="855" ht="15.75" customHeight="1" s="39"/>
    <row r="856" ht="15.75" customHeight="1" s="39"/>
    <row r="857" ht="15.75" customHeight="1" s="39"/>
    <row r="858" ht="15.75" customHeight="1" s="39"/>
    <row r="859" ht="15.75" customHeight="1" s="39"/>
    <row r="860" ht="15.75" customHeight="1" s="39"/>
    <row r="861" ht="15.75" customHeight="1" s="39"/>
    <row r="862" ht="15.75" customHeight="1" s="39"/>
    <row r="863" ht="15.75" customHeight="1" s="39"/>
    <row r="864" ht="15.75" customHeight="1" s="39"/>
    <row r="865" ht="15.75" customHeight="1" s="39"/>
    <row r="866" ht="15.75" customHeight="1" s="39"/>
    <row r="867" ht="15.75" customHeight="1" s="39"/>
    <row r="868" ht="15.75" customHeight="1" s="39"/>
    <row r="869" ht="15.75" customHeight="1" s="39"/>
    <row r="870" ht="15.75" customHeight="1" s="39"/>
    <row r="871" ht="15.75" customHeight="1" s="39"/>
    <row r="872" ht="15.75" customHeight="1" s="39"/>
    <row r="873" ht="15.75" customHeight="1" s="39"/>
    <row r="874" ht="15.75" customHeight="1" s="39"/>
    <row r="875" ht="15.75" customHeight="1" s="39"/>
    <row r="876" ht="15.75" customHeight="1" s="39"/>
    <row r="877" ht="15.75" customHeight="1" s="39"/>
    <row r="878" ht="15.75" customHeight="1" s="39"/>
    <row r="879" ht="15.75" customHeight="1" s="39"/>
    <row r="880" ht="15.75" customHeight="1" s="39"/>
    <row r="881" ht="15.75" customHeight="1" s="39"/>
    <row r="882" ht="15.75" customHeight="1" s="39"/>
    <row r="883" ht="15.75" customHeight="1" s="39"/>
    <row r="884" ht="15.75" customHeight="1" s="39"/>
    <row r="885" ht="15.75" customHeight="1" s="39"/>
    <row r="886" ht="15.75" customHeight="1" s="39"/>
    <row r="887" ht="15.75" customHeight="1" s="39"/>
    <row r="888" ht="15.75" customHeight="1" s="39"/>
    <row r="889" ht="15.75" customHeight="1" s="39"/>
    <row r="890" ht="15.75" customHeight="1" s="39"/>
    <row r="891" ht="15.75" customHeight="1" s="39"/>
    <row r="892" ht="15.75" customHeight="1" s="39"/>
    <row r="893" ht="15.75" customHeight="1" s="39"/>
    <row r="894" ht="15.75" customHeight="1" s="39"/>
    <row r="895" ht="15.75" customHeight="1" s="39"/>
    <row r="896" ht="15.75" customHeight="1" s="39"/>
    <row r="897" ht="15.75" customHeight="1" s="39"/>
    <row r="898" ht="15.75" customHeight="1" s="39"/>
    <row r="899" ht="15.75" customHeight="1" s="39"/>
    <row r="900" ht="15.75" customHeight="1" s="39"/>
    <row r="901" ht="15.75" customHeight="1" s="39"/>
    <row r="902" ht="15.75" customHeight="1" s="39"/>
    <row r="903" ht="15.75" customHeight="1" s="39"/>
    <row r="904" ht="15.75" customHeight="1" s="39"/>
    <row r="905" ht="15.75" customHeight="1" s="39"/>
    <row r="906" ht="15.75" customHeight="1" s="39"/>
    <row r="907" ht="15.75" customHeight="1" s="39"/>
    <row r="908" ht="15.75" customHeight="1" s="39"/>
    <row r="909" ht="15.75" customHeight="1" s="39"/>
    <row r="910" ht="15.75" customHeight="1" s="39"/>
    <row r="911" ht="15.75" customHeight="1" s="39"/>
    <row r="912" ht="15.75" customHeight="1" s="39"/>
    <row r="913" ht="15.75" customHeight="1" s="39"/>
    <row r="914" ht="15.75" customHeight="1" s="39"/>
    <row r="915" ht="15.75" customHeight="1" s="39"/>
    <row r="916" ht="15.75" customHeight="1" s="39"/>
    <row r="917" ht="15.75" customHeight="1" s="39"/>
    <row r="918" ht="15.75" customHeight="1" s="39"/>
    <row r="919" ht="15.75" customHeight="1" s="39"/>
    <row r="920" ht="15.75" customHeight="1" s="39"/>
    <row r="921" ht="15.75" customHeight="1" s="39"/>
    <row r="922" ht="15.75" customHeight="1" s="39"/>
    <row r="923" ht="15.75" customHeight="1" s="39"/>
    <row r="924" ht="15.75" customHeight="1" s="39"/>
    <row r="925" ht="15.75" customHeight="1" s="39"/>
    <row r="926" ht="15.75" customHeight="1" s="39"/>
    <row r="927" ht="15.75" customHeight="1" s="39"/>
    <row r="928" ht="15.75" customHeight="1" s="39"/>
    <row r="929" ht="15.75" customHeight="1" s="39"/>
    <row r="930" ht="15.75" customHeight="1" s="39"/>
    <row r="931" ht="15.75" customHeight="1" s="39"/>
    <row r="932" ht="15.75" customHeight="1" s="39"/>
    <row r="933" ht="15.75" customHeight="1" s="39"/>
    <row r="934" ht="15.75" customHeight="1" s="39"/>
    <row r="935" ht="15.75" customHeight="1" s="39"/>
    <row r="936" ht="15.75" customHeight="1" s="39"/>
    <row r="937" ht="15.75" customHeight="1" s="39"/>
    <row r="938" ht="15.75" customHeight="1" s="39"/>
    <row r="939" ht="15.75" customHeight="1" s="39"/>
    <row r="940" ht="15.75" customHeight="1" s="39"/>
    <row r="941" ht="15.75" customHeight="1" s="39"/>
    <row r="942" ht="15.75" customHeight="1" s="39"/>
    <row r="943" ht="15.75" customHeight="1" s="39"/>
    <row r="944" ht="15.75" customHeight="1" s="39"/>
    <row r="945" ht="15.75" customHeight="1" s="39"/>
    <row r="946" ht="15.75" customHeight="1" s="39"/>
    <row r="947" ht="15.75" customHeight="1" s="39"/>
    <row r="948" ht="15.75" customHeight="1" s="39"/>
    <row r="949" ht="15.75" customHeight="1" s="39"/>
    <row r="950" ht="15.75" customHeight="1" s="39"/>
    <row r="951" ht="15.75" customHeight="1" s="39"/>
    <row r="952" ht="15.75" customHeight="1" s="39"/>
    <row r="953" ht="15.75" customHeight="1" s="39"/>
    <row r="954" ht="15.75" customHeight="1" s="39"/>
    <row r="955" ht="15.75" customHeight="1" s="39"/>
    <row r="956" ht="15.75" customHeight="1" s="39"/>
    <row r="957" ht="15.75" customHeight="1" s="39"/>
    <row r="958" ht="15.75" customHeight="1" s="39"/>
    <row r="959" ht="15.75" customHeight="1" s="39"/>
    <row r="960" ht="15.75" customHeight="1" s="39"/>
    <row r="961" ht="15.75" customHeight="1" s="39"/>
    <row r="962" ht="15.75" customHeight="1" s="39"/>
    <row r="963" ht="15.75" customHeight="1" s="39"/>
    <row r="964" ht="15.75" customHeight="1" s="39"/>
    <row r="965" ht="15.75" customHeight="1" s="39"/>
    <row r="966" ht="15.75" customHeight="1" s="39"/>
    <row r="967" ht="15.75" customHeight="1" s="39"/>
    <row r="968" ht="15.75" customHeight="1" s="39"/>
    <row r="969" ht="15.75" customHeight="1" s="39"/>
    <row r="970" ht="15.75" customHeight="1" s="39"/>
    <row r="971" ht="15.75" customHeight="1" s="39"/>
    <row r="972" ht="15.75" customHeight="1" s="39"/>
    <row r="973" ht="15.75" customHeight="1" s="39"/>
    <row r="974" ht="15.75" customHeight="1" s="39"/>
    <row r="975" ht="15.75" customHeight="1" s="39"/>
    <row r="976" ht="15.75" customHeight="1" s="39"/>
    <row r="977" ht="15.75" customHeight="1" s="39"/>
    <row r="978" ht="15.75" customHeight="1" s="39"/>
    <row r="979" ht="15.75" customHeight="1" s="39"/>
    <row r="980" ht="15.75" customHeight="1" s="39"/>
    <row r="981" ht="15.75" customHeight="1" s="39"/>
    <row r="982" ht="15.75" customHeight="1" s="39"/>
    <row r="983" ht="15.75" customHeight="1" s="39"/>
    <row r="984" ht="15.75" customHeight="1" s="39"/>
    <row r="985" ht="15.75" customHeight="1" s="39"/>
    <row r="986" ht="15.75" customHeight="1" s="39"/>
    <row r="987" ht="15.75" customHeight="1" s="39"/>
    <row r="988" ht="15.75" customHeight="1" s="39"/>
    <row r="989" ht="15.75" customHeight="1" s="39"/>
    <row r="990" ht="15.75" customHeight="1" s="39"/>
    <row r="991" ht="15.75" customHeight="1" s="39"/>
    <row r="992" ht="15.75" customHeight="1" s="39"/>
    <row r="993" ht="15.75" customHeight="1" s="39"/>
    <row r="994" ht="15.75" customHeight="1" s="39"/>
    <row r="995" ht="15.75" customHeight="1" s="39"/>
    <row r="996" ht="15.75" customHeight="1" s="39"/>
    <row r="997" ht="15.75" customHeight="1" s="39"/>
    <row r="998" ht="15.75" customHeight="1" s="39"/>
    <row r="999" ht="15.75" customHeight="1" s="39"/>
    <row r="1000" ht="15.75" customHeight="1" s="39"/>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O68"/>
  <sheetViews>
    <sheetView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4.43" defaultRowHeight="15" customHeight="1"/>
  <cols>
    <col width="44" customWidth="1" style="39" min="1" max="1"/>
    <col width="12" customWidth="1" style="39" min="2" max="15"/>
    <col width="8.710000000000001" customWidth="1" style="39" min="16" max="26"/>
  </cols>
  <sheetData>
    <row r="1">
      <c r="A1" s="3" t="inlineStr">
        <is>
          <t>Family Income Statement — 2026</t>
        </is>
      </c>
    </row>
    <row r="2">
      <c r="A2" s="4" t="inlineStr">
        <is>
          <t>Yellow = enter values. White = formulas. Some lines pull from CC Detail or Solar ROI.</t>
        </is>
      </c>
    </row>
    <row r="4">
      <c r="A4" s="5" t="inlineStr">
        <is>
          <t>Category</t>
        </is>
      </c>
      <c r="B4" s="5" t="inlineStr">
        <is>
          <t>Jan</t>
        </is>
      </c>
      <c r="C4" s="5" t="inlineStr">
        <is>
          <t>Feb</t>
        </is>
      </c>
      <c r="D4" s="5" t="inlineStr">
        <is>
          <t>Mar</t>
        </is>
      </c>
      <c r="E4" s="5" t="inlineStr">
        <is>
          <t>Apr</t>
        </is>
      </c>
      <c r="F4" s="5" t="inlineStr">
        <is>
          <t>May</t>
        </is>
      </c>
      <c r="G4" s="5" t="inlineStr">
        <is>
          <t>Jun</t>
        </is>
      </c>
      <c r="H4" s="5" t="inlineStr">
        <is>
          <t>Jul</t>
        </is>
      </c>
      <c r="I4" s="5" t="inlineStr">
        <is>
          <t>Aug</t>
        </is>
      </c>
      <c r="J4" s="5" t="inlineStr">
        <is>
          <t>Sep</t>
        </is>
      </c>
      <c r="K4" s="5" t="inlineStr">
        <is>
          <t>Oct</t>
        </is>
      </c>
      <c r="L4" s="5" t="inlineStr">
        <is>
          <t>Nov</t>
        </is>
      </c>
      <c r="M4" s="5" t="inlineStr">
        <is>
          <t>Dec</t>
        </is>
      </c>
      <c r="N4" s="5" t="inlineStr">
        <is>
          <t>YTD Total</t>
        </is>
      </c>
      <c r="O4" s="5" t="inlineStr">
        <is>
          <t>Avg/mo</t>
        </is>
      </c>
    </row>
    <row r="6">
      <c r="A6" s="14" t="inlineStr">
        <is>
          <t>INCOME</t>
        </is>
      </c>
      <c r="B6" s="14" t="n"/>
      <c r="C6" s="14" t="n"/>
      <c r="D6" s="14" t="n"/>
      <c r="E6" s="14" t="n"/>
      <c r="F6" s="14" t="n"/>
      <c r="G6" s="14" t="n"/>
      <c r="H6" s="14" t="n"/>
      <c r="I6" s="14" t="n"/>
      <c r="J6" s="14" t="n"/>
      <c r="K6" s="14" t="n"/>
      <c r="L6" s="14" t="n"/>
      <c r="M6" s="14" t="n"/>
      <c r="N6" s="14" t="n"/>
      <c r="O6" s="14" t="n"/>
    </row>
    <row r="7">
      <c r="A7" s="10" t="inlineStr">
        <is>
          <t xml:space="preserve">    Sue — net pay (Town of Sharon)</t>
        </is>
      </c>
      <c r="B7" s="8" t="n">
        <v>6470.41</v>
      </c>
      <c r="C7" s="8" t="n">
        <v>6627.84</v>
      </c>
      <c r="D7" s="8" t="n">
        <v>6470.42</v>
      </c>
      <c r="E7" s="8" t="n">
        <v>9705.26</v>
      </c>
      <c r="F7" s="8" t="n">
        <v>6526.38</v>
      </c>
      <c r="G7" s="8" t="n"/>
      <c r="H7" s="8" t="n"/>
      <c r="I7" s="8" t="n"/>
      <c r="J7" s="8" t="n"/>
      <c r="K7" s="8" t="n"/>
      <c r="L7" s="8" t="n"/>
      <c r="M7" s="8" t="n"/>
      <c r="N7" s="15">
        <f>SUM(B7:M7)</f>
        <v/>
      </c>
      <c r="O7" s="15">
        <f>IFERROR(AVERAGEIF(B7:M7,"&lt;&gt;0"),0)</f>
        <v/>
      </c>
    </row>
    <row r="8">
      <c r="A8" s="10" t="inlineStr">
        <is>
          <t xml:space="preserve">    Matt — net pay (MathWorks)</t>
        </is>
      </c>
      <c r="B8" s="8" t="n">
        <v>5179.07</v>
      </c>
      <c r="C8" s="8" t="n">
        <v>4551.25</v>
      </c>
      <c r="D8" s="8" t="n">
        <v>3827.99</v>
      </c>
      <c r="E8" s="8" t="n">
        <v>5427.48</v>
      </c>
      <c r="F8" s="8" t="n">
        <v>5989.440000000001</v>
      </c>
      <c r="G8" s="8" t="n"/>
      <c r="H8" s="8" t="n"/>
      <c r="I8" s="8" t="n"/>
      <c r="J8" s="8" t="n"/>
      <c r="K8" s="8" t="n"/>
      <c r="L8" s="8" t="n"/>
      <c r="M8" s="8" t="n"/>
      <c r="N8" s="15">
        <f>SUM(B8:M8)</f>
        <v/>
      </c>
      <c r="O8" s="15">
        <f>IFERROR(AVERAGEIF(B8:M8,"&lt;&gt;0"),0)</f>
        <v/>
      </c>
    </row>
    <row r="9">
      <c r="A9" s="10" t="inlineStr">
        <is>
          <t xml:space="preserve">    Q4 stakeholder bonus (MW lump, doubled)</t>
        </is>
      </c>
      <c r="B9" s="8" t="n"/>
      <c r="C9" s="8" t="n"/>
      <c r="D9" s="8" t="n"/>
      <c r="E9" s="8" t="n"/>
      <c r="F9" s="8" t="n"/>
      <c r="G9" s="8" t="n"/>
      <c r="H9" s="8" t="n"/>
      <c r="I9" s="8" t="n"/>
      <c r="J9" s="8" t="n"/>
      <c r="K9" s="8" t="n"/>
      <c r="L9" s="8" t="n"/>
      <c r="M9" s="8" t="n"/>
      <c r="N9" s="15">
        <f>SUM(B9:M9)</f>
        <v/>
      </c>
      <c r="O9" s="15">
        <f>IFERROR(AVERAGEIF(B9:M9,"&lt;&gt;0"),0)</f>
        <v/>
      </c>
    </row>
    <row r="10">
      <c r="A10" s="10" t="inlineStr">
        <is>
          <t xml:space="preserve">    Interest earned</t>
        </is>
      </c>
      <c r="B10" s="8" t="n">
        <v>155.3</v>
      </c>
      <c r="C10" s="8" t="n">
        <v>144.4</v>
      </c>
      <c r="D10" s="8" t="n">
        <v>87.26000000000001</v>
      </c>
      <c r="E10" s="8" t="n">
        <v>94.92999999999999</v>
      </c>
      <c r="F10" s="8" t="n">
        <v>79.5</v>
      </c>
      <c r="G10" s="8" t="n"/>
      <c r="H10" s="8" t="n"/>
      <c r="I10" s="8" t="n"/>
      <c r="J10" s="8" t="n"/>
      <c r="K10" s="8" t="n"/>
      <c r="L10" s="8" t="n"/>
      <c r="M10" s="8" t="n"/>
      <c r="N10" s="15">
        <f>SUM(B10:M10)</f>
        <v/>
      </c>
      <c r="O10" s="15">
        <f>IFERROR(AVERAGEIF(B10:M10,"&lt;&gt;0"),0)</f>
        <v/>
      </c>
    </row>
    <row r="11">
      <c r="A11" s="10" t="inlineStr">
        <is>
          <t xml:space="preserve">    FSA Dep Care reimbursement (lump from Wex)</t>
        </is>
      </c>
      <c r="B11" s="8" t="n"/>
      <c r="C11" s="8" t="n"/>
      <c r="D11" s="8" t="n"/>
      <c r="E11" s="8" t="n"/>
      <c r="F11" s="8" t="n"/>
      <c r="G11" s="8" t="n"/>
      <c r="H11" s="8" t="n"/>
      <c r="I11" s="8" t="n"/>
      <c r="J11" s="8" t="n"/>
      <c r="K11" s="8" t="n"/>
      <c r="L11" s="8" t="n"/>
      <c r="M11" s="8" t="n"/>
      <c r="N11" s="15">
        <f>SUM(B11:M11)</f>
        <v/>
      </c>
      <c r="O11" s="15">
        <f>IFERROR(AVERAGEIF(B11:M11,"&lt;&gt;0"),0)</f>
        <v/>
      </c>
    </row>
    <row r="12">
      <c r="A12" s="10" t="inlineStr">
        <is>
          <t xml:space="preserve">    Tuition reimbursement (MathWorks)</t>
        </is>
      </c>
      <c r="B12" s="8" t="n"/>
      <c r="C12" s="8" t="n"/>
      <c r="D12" s="8" t="n"/>
      <c r="E12" s="8" t="n"/>
      <c r="F12" s="8" t="n"/>
      <c r="G12" s="8" t="n"/>
      <c r="H12" s="8" t="n"/>
      <c r="I12" s="8" t="n"/>
      <c r="J12" s="8" t="n"/>
      <c r="K12" s="8" t="n"/>
      <c r="L12" s="8" t="n"/>
      <c r="M12" s="8" t="n"/>
      <c r="N12" s="15">
        <f>SUM(B12:M12)</f>
        <v/>
      </c>
      <c r="O12" s="15">
        <f>IFERROR(AVERAGEIF(B12:M12,"&lt;&gt;0"),0)</f>
        <v/>
      </c>
    </row>
    <row r="13">
      <c r="A13" s="10" t="inlineStr">
        <is>
          <t xml:space="preserve">    Tax refunds (Federal/MA)</t>
        </is>
      </c>
      <c r="B13" s="8" t="n"/>
      <c r="C13" s="8" t="n"/>
      <c r="D13" s="8" t="n"/>
      <c r="E13" s="8" t="n">
        <v>603</v>
      </c>
      <c r="F13" s="8" t="n"/>
      <c r="G13" s="8" t="n"/>
      <c r="H13" s="8" t="n"/>
      <c r="I13" s="8" t="n"/>
      <c r="J13" s="8" t="n"/>
      <c r="K13" s="8" t="n"/>
      <c r="L13" s="8" t="n"/>
      <c r="M13" s="8" t="n"/>
      <c r="N13" s="15">
        <f>SUM(B13:M13)</f>
        <v/>
      </c>
      <c r="O13" s="15">
        <f>IFERROR(AVERAGEIF(B13:M13,"&lt;&gt;0"),0)</f>
        <v/>
      </c>
    </row>
    <row r="14">
      <c r="A14" s="10" t="inlineStr">
        <is>
          <t xml:space="preserve">    CC rewards / Misc refunds / Side income</t>
        </is>
      </c>
      <c r="B14" s="8" t="n">
        <v>72.01000000000001</v>
      </c>
      <c r="C14" s="8" t="n">
        <v>77.52999999999999</v>
      </c>
      <c r="D14" s="8" t="n">
        <v>43.52</v>
      </c>
      <c r="E14" s="8" t="n">
        <v>209.21</v>
      </c>
      <c r="F14" s="8" t="n">
        <v>177.6</v>
      </c>
      <c r="G14" s="8" t="n">
        <v>90.94999999999999</v>
      </c>
      <c r="H14" s="8" t="n"/>
      <c r="I14" s="8" t="n"/>
      <c r="J14" s="8" t="n"/>
      <c r="K14" s="8" t="n"/>
      <c r="L14" s="8" t="n"/>
      <c r="M14" s="8" t="n"/>
      <c r="N14" s="15">
        <f>SUM(B14:M14)</f>
        <v/>
      </c>
      <c r="O14" s="15">
        <f>IFERROR(AVERAGEIF(B14:M14,"&lt;&gt;0"),0)</f>
        <v/>
      </c>
    </row>
    <row r="15">
      <c r="A15" s="11" t="inlineStr">
        <is>
          <t>Total Income</t>
        </is>
      </c>
      <c r="B15" s="13">
        <f>SUM(B7:B14)</f>
        <v/>
      </c>
      <c r="C15" s="13">
        <f>SUM(C7:C14)</f>
        <v/>
      </c>
      <c r="D15" s="13">
        <f>SUM(D7:D14)</f>
        <v/>
      </c>
      <c r="E15" s="13">
        <f>SUM(E7:E14)</f>
        <v/>
      </c>
      <c r="F15" s="13">
        <f>SUM(F7:F14)</f>
        <v/>
      </c>
      <c r="G15" s="13">
        <f>SUM(G7:G14)</f>
        <v/>
      </c>
      <c r="H15" s="13">
        <f>SUM(H7:H14)</f>
        <v/>
      </c>
      <c r="I15" s="13">
        <f>SUM(I7:I14)</f>
        <v/>
      </c>
      <c r="J15" s="13">
        <f>SUM(J7:J14)</f>
        <v/>
      </c>
      <c r="K15" s="13">
        <f>SUM(K7:K14)</f>
        <v/>
      </c>
      <c r="L15" s="13">
        <f>SUM(L7:L14)</f>
        <v/>
      </c>
      <c r="M15" s="13">
        <f>SUM(M7:M14)</f>
        <v/>
      </c>
      <c r="N15" s="13">
        <f>SUM(N7:N14)</f>
        <v/>
      </c>
      <c r="O15" s="13">
        <f>IFERROR(N15/COUNTIF(B15:M15,"&gt;0"),0)</f>
        <v/>
      </c>
    </row>
    <row r="17">
      <c r="A17" s="14" t="inlineStr">
        <is>
          <t>FIXED EXPENSES</t>
        </is>
      </c>
      <c r="B17" s="14" t="n"/>
      <c r="C17" s="14" t="n"/>
      <c r="D17" s="14" t="n"/>
      <c r="E17" s="14" t="n"/>
      <c r="F17" s="14" t="n"/>
      <c r="G17" s="14" t="n"/>
      <c r="H17" s="14" t="n"/>
      <c r="I17" s="14" t="n"/>
      <c r="J17" s="14" t="n"/>
      <c r="K17" s="14" t="n"/>
      <c r="L17" s="14" t="n"/>
      <c r="M17" s="14" t="n"/>
      <c r="N17" s="14" t="n"/>
      <c r="O17" s="14" t="n"/>
    </row>
    <row r="18">
      <c r="A18" s="10" t="inlineStr">
        <is>
          <t xml:space="preserve">    Mortgage (Rocket biweekly avg)</t>
        </is>
      </c>
      <c r="B18" s="8" t="n">
        <v>3288.58</v>
      </c>
      <c r="C18" s="8" t="n">
        <v>3288.58</v>
      </c>
      <c r="D18" s="8" t="n">
        <v>3288.58</v>
      </c>
      <c r="E18" s="8" t="n">
        <v>3288.58</v>
      </c>
      <c r="F18" s="8" t="n">
        <v>3288.58</v>
      </c>
      <c r="G18" s="8" t="n"/>
      <c r="H18" s="8" t="n"/>
      <c r="I18" s="8" t="n"/>
      <c r="J18" s="8" t="n"/>
      <c r="K18" s="8" t="n"/>
      <c r="L18" s="8" t="n"/>
      <c r="M18" s="8" t="n"/>
      <c r="N18" s="15">
        <f>SUM(B18:M18)</f>
        <v/>
      </c>
      <c r="O18" s="15">
        <f>IFERROR(AVERAGEIF(B18:M18,"&lt;&gt;0"),0)</f>
        <v/>
      </c>
    </row>
    <row r="19">
      <c r="A19" s="10" t="inlineStr">
        <is>
          <t xml:space="preserve">    Car — 2023 Sienna loan (BoA)</t>
        </is>
      </c>
      <c r="B19" s="8" t="n">
        <v>384</v>
      </c>
      <c r="C19" s="8" t="n">
        <v>384</v>
      </c>
      <c r="D19" s="8" t="n">
        <v>576</v>
      </c>
      <c r="E19" s="8" t="n">
        <v>384</v>
      </c>
      <c r="F19" s="8" t="n">
        <v>384</v>
      </c>
      <c r="G19" s="8" t="n"/>
      <c r="H19" s="8" t="n"/>
      <c r="I19" s="8" t="n"/>
      <c r="J19" s="8" t="n"/>
      <c r="K19" s="8" t="n"/>
      <c r="L19" s="8" t="n"/>
      <c r="M19" s="8" t="n"/>
      <c r="N19" s="15">
        <f>SUM(B19:M19)</f>
        <v/>
      </c>
      <c r="O19" s="15">
        <f>IFERROR(AVERAGEIF(B19:M19,"&lt;&gt;0"),0)</f>
        <v/>
      </c>
    </row>
    <row r="20">
      <c r="A20" s="10" t="inlineStr">
        <is>
          <t xml:space="preserve">    Car — 2022 RAV4 loan (Toyota)</t>
        </is>
      </c>
      <c r="B20" s="8" t="n">
        <v>416</v>
      </c>
      <c r="C20" s="8" t="n">
        <v>416</v>
      </c>
      <c r="D20" s="8" t="n">
        <v>624</v>
      </c>
      <c r="E20" s="8" t="n">
        <v>416</v>
      </c>
      <c r="F20" s="8" t="n">
        <v>416</v>
      </c>
      <c r="G20" s="8" t="n"/>
      <c r="H20" s="8" t="n"/>
      <c r="I20" s="8" t="n"/>
      <c r="J20" s="8" t="n"/>
      <c r="K20" s="8" t="n"/>
      <c r="L20" s="8" t="n"/>
      <c r="M20" s="8" t="n"/>
      <c r="N20" s="15">
        <f>SUM(B20:M20)</f>
        <v/>
      </c>
      <c r="O20" s="15">
        <f>IFERROR(AVERAGEIF(B20:M20,"&lt;&gt;0"),0)</f>
        <v/>
      </c>
    </row>
    <row r="21" ht="15.75" customHeight="1" s="39">
      <c r="A21" s="10" t="inlineStr">
        <is>
          <t xml:space="preserve">    Childcare (checks)</t>
        </is>
      </c>
      <c r="B21" s="8" t="n">
        <v>724.6</v>
      </c>
      <c r="C21" s="8" t="n">
        <v>684.34</v>
      </c>
      <c r="D21" s="8" t="n"/>
      <c r="E21" s="8" t="n">
        <v>1229.2</v>
      </c>
      <c r="F21" s="8" t="n">
        <v>421.6</v>
      </c>
      <c r="G21" s="8" t="n"/>
      <c r="H21" s="8" t="n"/>
      <c r="I21" s="8" t="n"/>
      <c r="J21" s="8" t="n"/>
      <c r="K21" s="8" t="n"/>
      <c r="L21" s="8" t="n"/>
      <c r="M21" s="8" t="n"/>
      <c r="N21" s="15">
        <f>SUM(B21:M21)</f>
        <v/>
      </c>
      <c r="O21" s="15">
        <f>IFERROR(AVERAGEIF(B21:M21,"&lt;&gt;0"),0)</f>
        <v/>
      </c>
    </row>
    <row r="22" ht="15.75" customHeight="1" s="39">
      <c r="A22" s="10" t="inlineStr">
        <is>
          <t xml:space="preserve">    Tuition (Northeastern)</t>
        </is>
      </c>
      <c r="B22" s="8" t="n"/>
      <c r="C22" s="8" t="n"/>
      <c r="D22" s="8" t="n"/>
      <c r="E22" s="8" t="n">
        <v>1848.3</v>
      </c>
      <c r="F22" s="8" t="n"/>
      <c r="G22" s="8" t="n"/>
      <c r="H22" s="8" t="n"/>
      <c r="I22" s="8" t="n"/>
      <c r="J22" s="8" t="n"/>
      <c r="K22" s="8" t="n"/>
      <c r="L22" s="8" t="n"/>
      <c r="M22" s="8" t="n"/>
      <c r="N22" s="15">
        <f>SUM(B22:M22)</f>
        <v/>
      </c>
      <c r="O22" s="15">
        <f>IFERROR(AVERAGEIF(B22:M22,"&lt;&gt;0"),0)</f>
        <v/>
      </c>
    </row>
    <row r="23" ht="15.75" customHeight="1" s="39">
      <c r="A23" s="10" t="inlineStr">
        <is>
          <t xml:space="preserve">    Life insurance — American General</t>
        </is>
      </c>
      <c r="B23" s="8" t="n">
        <v>46.19</v>
      </c>
      <c r="C23" s="8" t="n">
        <v>46.19</v>
      </c>
      <c r="D23" s="8" t="n">
        <v>46.19</v>
      </c>
      <c r="E23" s="8" t="n">
        <v>46.19</v>
      </c>
      <c r="F23" s="8" t="n">
        <v>46.19</v>
      </c>
      <c r="G23" s="8" t="n"/>
      <c r="H23" s="8" t="n"/>
      <c r="I23" s="8" t="n"/>
      <c r="J23" s="8" t="n"/>
      <c r="K23" s="8" t="n"/>
      <c r="L23" s="8" t="n"/>
      <c r="M23" s="8" t="n"/>
      <c r="N23" s="15">
        <f>SUM(B23:M23)</f>
        <v/>
      </c>
      <c r="O23" s="15">
        <f>IFERROR(AVERAGEIF(B23:M23,"&lt;&gt;0"),0)</f>
        <v/>
      </c>
    </row>
    <row r="24" ht="15.75" customHeight="1" s="39">
      <c r="A24" s="10" t="inlineStr">
        <is>
          <t xml:space="preserve">    Life insurance — ALIC</t>
        </is>
      </c>
      <c r="B24" s="8" t="n"/>
      <c r="C24" s="8" t="n">
        <v>90.39</v>
      </c>
      <c r="D24" s="8" t="n">
        <v>90.39</v>
      </c>
      <c r="E24" s="8" t="n">
        <v>90.39</v>
      </c>
      <c r="F24" s="8" t="n">
        <v>90.39</v>
      </c>
      <c r="G24" s="8" t="n"/>
      <c r="H24" s="8" t="n"/>
      <c r="I24" s="8" t="n"/>
      <c r="J24" s="8" t="n"/>
      <c r="K24" s="8" t="n"/>
      <c r="L24" s="8" t="n"/>
      <c r="M24" s="8" t="n"/>
      <c r="N24" s="15">
        <f>SUM(B24:M24)</f>
        <v/>
      </c>
      <c r="O24" s="15">
        <f>IFERROR(AVERAGEIF(B24:M24,"&lt;&gt;0"),0)</f>
        <v/>
      </c>
    </row>
    <row r="25" ht="15.75" customHeight="1" s="39">
      <c r="A25" s="10" t="inlineStr">
        <is>
          <t xml:space="preserve">    Verizon</t>
        </is>
      </c>
      <c r="B25" s="8" t="n">
        <v>54.99</v>
      </c>
      <c r="C25" s="8" t="n">
        <v>54.99</v>
      </c>
      <c r="D25" s="8" t="n">
        <v>54.99</v>
      </c>
      <c r="E25" s="8" t="n">
        <v>54.99</v>
      </c>
      <c r="F25" s="8" t="n">
        <v>54.99</v>
      </c>
      <c r="G25" s="8" t="n"/>
      <c r="H25" s="8" t="n"/>
      <c r="I25" s="8" t="n"/>
      <c r="J25" s="8" t="n"/>
      <c r="K25" s="8" t="n"/>
      <c r="L25" s="8" t="n"/>
      <c r="M25" s="8" t="n"/>
      <c r="N25" s="15">
        <f>SUM(B25:M25)</f>
        <v/>
      </c>
      <c r="O25" s="15">
        <f>IFERROR(AVERAGEIF(B25:M25,"&lt;&gt;0"),0)</f>
        <v/>
      </c>
    </row>
    <row r="26" ht="15.75" customHeight="1" s="39">
      <c r="A26" s="10" t="inlineStr">
        <is>
          <t xml:space="preserve">    T-Mobile</t>
        </is>
      </c>
      <c r="B26" s="8" t="n">
        <v>138.05</v>
      </c>
      <c r="C26" s="8" t="n">
        <v>139.64</v>
      </c>
      <c r="D26" s="8" t="n">
        <v>139.64</v>
      </c>
      <c r="E26" s="8" t="n">
        <v>139.61</v>
      </c>
      <c r="F26" s="8" t="n">
        <v>139.61</v>
      </c>
      <c r="G26" s="8" t="n"/>
      <c r="H26" s="8" t="n"/>
      <c r="I26" s="8" t="n"/>
      <c r="J26" s="8" t="n"/>
      <c r="K26" s="8" t="n"/>
      <c r="L26" s="8" t="n"/>
      <c r="M26" s="8" t="n"/>
      <c r="N26" s="15">
        <f>SUM(B26:M26)</f>
        <v/>
      </c>
      <c r="O26" s="15">
        <f>IFERROR(AVERAGEIF(B26:M26,"&lt;&gt;0"),0)</f>
        <v/>
      </c>
    </row>
    <row r="27" ht="15.75" customHeight="1" s="39">
      <c r="A27" s="10" t="inlineStr">
        <is>
          <t xml:space="preserve">    Schwab investment (529)</t>
        </is>
      </c>
      <c r="B27" s="8" t="n">
        <v>100</v>
      </c>
      <c r="C27" s="8" t="n"/>
      <c r="D27" s="8" t="n">
        <v>200</v>
      </c>
      <c r="E27" s="8" t="n">
        <v>100</v>
      </c>
      <c r="F27" s="8" t="n"/>
      <c r="G27" s="8" t="n"/>
      <c r="H27" s="8" t="n"/>
      <c r="I27" s="8" t="n"/>
      <c r="J27" s="8" t="n"/>
      <c r="K27" s="8" t="n"/>
      <c r="L27" s="8" t="n"/>
      <c r="M27" s="8" t="n"/>
      <c r="N27" s="15">
        <f>SUM(B27:M27)</f>
        <v/>
      </c>
      <c r="O27" s="15">
        <f>IFERROR(AVERAGEIF(B27:M27,"&lt;&gt;0"),0)</f>
        <v/>
      </c>
    </row>
    <row r="28" ht="15.75" customHeight="1" s="39">
      <c r="A28" s="10" t="inlineStr">
        <is>
          <t xml:space="preserve">    Fidelity investment ($50/mo)</t>
        </is>
      </c>
      <c r="B28" s="8" t="n">
        <v>100</v>
      </c>
      <c r="C28" s="8" t="n">
        <v>50</v>
      </c>
      <c r="D28" s="8" t="n">
        <v>200</v>
      </c>
      <c r="E28" s="8" t="n">
        <v>100</v>
      </c>
      <c r="F28" s="8" t="n"/>
      <c r="G28" s="8" t="n">
        <v>100</v>
      </c>
      <c r="H28" s="8" t="n"/>
      <c r="I28" s="8" t="n"/>
      <c r="J28" s="8" t="n"/>
      <c r="K28" s="8" t="n"/>
      <c r="L28" s="8" t="n"/>
      <c r="M28" s="8" t="n"/>
      <c r="N28" s="15">
        <f>SUM(B28:M28)</f>
        <v/>
      </c>
      <c r="O28" s="15">
        <f>IFERROR(AVERAGEIF(B28:M28,"&lt;&gt;0"),0)</f>
        <v/>
      </c>
    </row>
    <row r="29" ht="15.75" customHeight="1" s="39">
      <c r="A29" s="11" t="inlineStr">
        <is>
          <t>Total Fixed Expenses</t>
        </is>
      </c>
      <c r="B29" s="13" t="n">
        <v>50</v>
      </c>
      <c r="C29" s="13" t="n">
        <v>50</v>
      </c>
      <c r="D29" s="13" t="n">
        <v>50</v>
      </c>
      <c r="E29" s="13" t="n">
        <v>50</v>
      </c>
      <c r="F29" s="13" t="n">
        <v>50</v>
      </c>
      <c r="G29" s="13" t="n">
        <v>100</v>
      </c>
      <c r="H29" s="13" t="n">
        <v>0</v>
      </c>
      <c r="I29" s="13" t="n">
        <v>0</v>
      </c>
      <c r="J29" s="13" t="n">
        <v>0</v>
      </c>
      <c r="K29" s="13" t="n">
        <v>0</v>
      </c>
      <c r="L29" s="13" t="n">
        <v>0</v>
      </c>
      <c r="M29" s="13" t="n">
        <v>0</v>
      </c>
      <c r="N29" s="13">
        <f>SUM(N18:N28)</f>
        <v/>
      </c>
      <c r="O29" s="13">
        <f>IFERROR(N29/COUNTIF(B29:M29,"&gt;0"),0)</f>
        <v/>
      </c>
    </row>
    <row r="30" ht="15.75" customHeight="1" s="39"/>
    <row r="31" ht="15.75" customHeight="1" s="39">
      <c r="A31" s="14" t="inlineStr">
        <is>
          <t>UTILITIES (Gas/Electric Currently Lumped)</t>
        </is>
      </c>
      <c r="B31" s="14" t="n"/>
      <c r="C31" s="14" t="n"/>
      <c r="D31" s="14" t="n"/>
      <c r="E31" s="14" t="n"/>
      <c r="F31" s="14" t="n"/>
      <c r="G31" s="14" t="n"/>
      <c r="H31" s="14" t="n"/>
      <c r="I31" s="14" t="n"/>
      <c r="J31" s="14" t="n"/>
      <c r="K31" s="14" t="n"/>
      <c r="L31" s="14" t="n"/>
      <c r="M31" s="14" t="n"/>
      <c r="N31" s="14" t="n"/>
      <c r="O31" s="14" t="n"/>
    </row>
    <row r="32" ht="15.75" customHeight="1" s="39">
      <c r="A32" s="10" t="inlineStr">
        <is>
          <t xml:space="preserve">    Gas bill</t>
        </is>
      </c>
      <c r="B32" s="8" t="n">
        <v>508.66</v>
      </c>
      <c r="C32" s="8" t="n">
        <v>528.66</v>
      </c>
      <c r="D32" s="8" t="n">
        <v>637</v>
      </c>
      <c r="E32" s="8" t="n">
        <v>405.83</v>
      </c>
      <c r="F32" s="8" t="n">
        <v>303.96</v>
      </c>
      <c r="G32" s="8" t="n">
        <v>223.28</v>
      </c>
      <c r="H32" s="8" t="n"/>
      <c r="I32" s="8" t="n"/>
      <c r="J32" s="8" t="n"/>
      <c r="K32" s="8" t="n"/>
      <c r="L32" s="8" t="n"/>
      <c r="M32" s="8" t="n"/>
      <c r="N32" s="15">
        <f>SUM(B32:M32)</f>
        <v/>
      </c>
      <c r="O32" s="15">
        <f>IFERROR(AVERAGEIF(B32:M32,"&lt;&gt;0"),0)</f>
        <v/>
      </c>
    </row>
    <row r="33" ht="15.75" customHeight="1" s="39">
      <c r="A33" s="10" t="inlineStr">
        <is>
          <t xml:space="preserve">    Electric (Eversource — pre-solar)</t>
        </is>
      </c>
      <c r="B33" s="8" t="n">
        <v>189.8</v>
      </c>
      <c r="C33" s="8" t="n">
        <v>364.31</v>
      </c>
      <c r="D33" s="8" t="n">
        <v>351.64</v>
      </c>
      <c r="E33" s="8" t="n">
        <v>207.68</v>
      </c>
      <c r="F33" s="8" t="n">
        <v>194.51</v>
      </c>
      <c r="G33" s="8" t="n">
        <v>87</v>
      </c>
      <c r="H33" s="8" t="n"/>
      <c r="I33" s="8" t="n"/>
      <c r="J33" s="8" t="n"/>
      <c r="K33" s="8" t="n"/>
      <c r="L33" s="8" t="n"/>
      <c r="M33" s="8" t="n"/>
      <c r="N33" s="15">
        <f>SUM(B33:M33)</f>
        <v/>
      </c>
      <c r="O33" s="15">
        <f>IFERROR(AVERAGEIF(B33:M33,"&lt;&gt;0"),0)</f>
        <v/>
      </c>
    </row>
    <row r="34" ht="15.75" customHeight="1" s="39">
      <c r="A34" s="10" t="inlineStr">
        <is>
          <t xml:space="preserve">    Water</t>
        </is>
      </c>
      <c r="B34" s="8" t="n"/>
      <c r="C34" s="8" t="n"/>
      <c r="D34" s="8" t="n"/>
      <c r="E34" s="8" t="n"/>
      <c r="F34" s="8" t="n"/>
      <c r="G34" s="8" t="n"/>
      <c r="H34" s="8" t="n"/>
      <c r="I34" s="8" t="n"/>
      <c r="J34" s="8" t="n"/>
      <c r="K34" s="8" t="n"/>
      <c r="L34" s="8" t="n"/>
      <c r="M34" s="8" t="n"/>
      <c r="N34" s="15">
        <f>SUM(B34:M34)</f>
        <v/>
      </c>
      <c r="O34" s="15">
        <f>IFERROR(AVERAGEIF(B34:M34,"&lt;&gt;0"),0)</f>
        <v/>
      </c>
    </row>
    <row r="35" ht="15.75" customHeight="1" s="39">
      <c r="A35" s="11" t="inlineStr">
        <is>
          <t>Total Utilities</t>
        </is>
      </c>
      <c r="B35" s="13">
        <f>SUM(B32:B34)</f>
        <v/>
      </c>
      <c r="C35" s="13">
        <f>SUM(C32:C34)</f>
        <v/>
      </c>
      <c r="D35" s="13">
        <f>SUM(D32:D34)</f>
        <v/>
      </c>
      <c r="E35" s="13">
        <f>SUM(E32:E34)</f>
        <v/>
      </c>
      <c r="F35" s="13">
        <f>SUM(F32:F34)</f>
        <v/>
      </c>
      <c r="G35" s="13">
        <f>SUM(G32:G34)</f>
        <v/>
      </c>
      <c r="H35" s="13">
        <f>SUM(H32:H34)</f>
        <v/>
      </c>
      <c r="I35" s="13">
        <f>SUM(I32:I34)</f>
        <v/>
      </c>
      <c r="J35" s="13">
        <f>SUM(J32:J34)</f>
        <v/>
      </c>
      <c r="K35" s="13">
        <f>SUM(K32:K34)</f>
        <v/>
      </c>
      <c r="L35" s="13">
        <f>SUM(L32:L34)</f>
        <v/>
      </c>
      <c r="M35" s="13">
        <f>SUM(M32:M34)</f>
        <v/>
      </c>
      <c r="N35" s="13">
        <f>SUM(N32:N34)</f>
        <v/>
      </c>
      <c r="O35" s="13">
        <f>IFERROR(N35/COUNTIF(B35:M35,"&gt;0"),0)</f>
        <v/>
      </c>
    </row>
    <row r="36" ht="15.75" customHeight="1" s="39"/>
    <row r="37" ht="15.75" customHeight="1" s="39">
      <c r="A37" s="14" t="inlineStr">
        <is>
          <t>VARIABLE SPENDING (auto-pulled from CC Detail)</t>
        </is>
      </c>
      <c r="B37" s="14" t="n"/>
      <c r="C37" s="14" t="n"/>
      <c r="D37" s="14" t="n"/>
      <c r="E37" s="14" t="n"/>
      <c r="F37" s="14" t="n"/>
      <c r="G37" s="14" t="n"/>
      <c r="H37" s="14" t="n"/>
      <c r="I37" s="14" t="n"/>
      <c r="J37" s="14" t="n"/>
      <c r="K37" s="14" t="n"/>
      <c r="L37" s="14" t="n"/>
      <c r="M37" s="14" t="n"/>
      <c r="N37" s="14" t="n"/>
      <c r="O37" s="14" t="n"/>
    </row>
    <row r="38" ht="15.75" customHeight="1" s="39">
      <c r="A38" s="10" t="inlineStr">
        <is>
          <t xml:space="preserve">    Groceries</t>
        </is>
      </c>
      <c r="B38" s="15" t="n">
        <v>635.4000000000001</v>
      </c>
      <c r="C38" s="15" t="n">
        <v>940.2900000000001</v>
      </c>
      <c r="D38" s="15" t="n">
        <v>701.4200000000001</v>
      </c>
      <c r="E38" s="15" t="n">
        <v>720.34</v>
      </c>
      <c r="F38" s="15" t="n">
        <v>427.34</v>
      </c>
      <c r="G38" s="15" t="n"/>
      <c r="H38" s="15" t="n"/>
      <c r="I38" s="15" t="n"/>
      <c r="J38" s="15" t="n"/>
      <c r="K38" s="15" t="n"/>
      <c r="L38" s="15" t="n"/>
      <c r="M38" s="15" t="n"/>
      <c r="N38" s="15">
        <f>SUM(B38:M38)</f>
        <v/>
      </c>
      <c r="O38" s="15">
        <f>IFERROR(AVERAGEIF(B38:M38,"&lt;&gt;0"),0)</f>
        <v/>
      </c>
    </row>
    <row r="39" ht="15.75" customHeight="1" s="39">
      <c r="A39" s="10" t="inlineStr">
        <is>
          <t xml:space="preserve">    Gas / Vehicle</t>
        </is>
      </c>
      <c r="B39" s="15" t="n">
        <v>198.77</v>
      </c>
      <c r="C39" s="15" t="n">
        <v>242.84</v>
      </c>
      <c r="D39" s="15" t="n">
        <v>214.4</v>
      </c>
      <c r="E39" s="15" t="n">
        <v>356.42</v>
      </c>
      <c r="F39" s="15" t="n">
        <v>302.96</v>
      </c>
      <c r="G39" s="15" t="n"/>
      <c r="H39" s="15" t="n"/>
      <c r="I39" s="15" t="n"/>
      <c r="J39" s="15" t="n"/>
      <c r="K39" s="15" t="n"/>
      <c r="L39" s="15" t="n"/>
      <c r="M39" s="15" t="n"/>
      <c r="N39" s="15">
        <f>SUM(B39:M39)</f>
        <v/>
      </c>
      <c r="O39" s="15">
        <f>IFERROR(AVERAGEIF(B39:M39,"&lt;&gt;0"),0)</f>
        <v/>
      </c>
    </row>
    <row r="40" ht="15.75" customHeight="1" s="39">
      <c r="A40" s="10" t="inlineStr">
        <is>
          <t xml:space="preserve">    Dining out</t>
        </is>
      </c>
      <c r="B40" s="15" t="n">
        <v>683.6500000000001</v>
      </c>
      <c r="C40" s="15" t="n">
        <v>884.87</v>
      </c>
      <c r="D40" s="15" t="n">
        <v>575</v>
      </c>
      <c r="E40" s="15" t="n">
        <v>1032.83</v>
      </c>
      <c r="F40" s="15" t="n">
        <v>427.35</v>
      </c>
      <c r="G40" s="15" t="n"/>
      <c r="H40" s="15" t="n"/>
      <c r="I40" s="15" t="n"/>
      <c r="J40" s="15" t="n"/>
      <c r="K40" s="15" t="n"/>
      <c r="L40" s="15" t="n"/>
      <c r="M40" s="15" t="n"/>
      <c r="N40" s="15">
        <f>SUM(B40:M40)</f>
        <v/>
      </c>
      <c r="O40" s="15">
        <f>IFERROR(AVERAGEIF(B40:M40,"&lt;&gt;0"),0)</f>
        <v/>
      </c>
    </row>
    <row r="41" ht="15.75" customHeight="1" s="39">
      <c r="A41" s="10" t="inlineStr">
        <is>
          <t xml:space="preserve">    Subscriptions</t>
        </is>
      </c>
      <c r="B41" s="15" t="n">
        <v>111.05</v>
      </c>
      <c r="C41" s="15" t="n">
        <v>104.34</v>
      </c>
      <c r="D41" s="15" t="n">
        <v>111.05</v>
      </c>
      <c r="E41" s="15" t="n">
        <v>160.4</v>
      </c>
      <c r="F41" s="15" t="n">
        <v>153.07</v>
      </c>
      <c r="G41" s="15" t="n"/>
      <c r="H41" s="15" t="n"/>
      <c r="I41" s="15" t="n"/>
      <c r="J41" s="15" t="n"/>
      <c r="K41" s="15" t="n"/>
      <c r="L41" s="15" t="n"/>
      <c r="M41" s="15" t="n"/>
      <c r="N41" s="15">
        <f>SUM(B41:M41)</f>
        <v/>
      </c>
      <c r="O41" s="15">
        <f>IFERROR(AVERAGEIF(B41:M41,"&lt;&gt;0"),0)</f>
        <v/>
      </c>
    </row>
    <row r="42" ht="15.75" customHeight="1" s="39">
      <c r="A42" s="10" t="inlineStr">
        <is>
          <t xml:space="preserve">    Kids / Activities</t>
        </is>
      </c>
      <c r="B42" s="15" t="n">
        <v>240</v>
      </c>
      <c r="C42" s="15" t="n">
        <v>27</v>
      </c>
      <c r="D42" s="15" t="n">
        <v>90</v>
      </c>
      <c r="E42" s="15" t="n">
        <v>490.32</v>
      </c>
      <c r="F42" s="15" t="n">
        <v>654.24</v>
      </c>
      <c r="G42" s="15" t="n"/>
      <c r="H42" s="15" t="n"/>
      <c r="I42" s="15" t="n"/>
      <c r="J42" s="15" t="n"/>
      <c r="K42" s="15" t="n"/>
      <c r="L42" s="15" t="n"/>
      <c r="M42" s="15" t="n"/>
      <c r="N42" s="15">
        <f>SUM(B42:M42)</f>
        <v/>
      </c>
      <c r="O42" s="15">
        <f>IFERROR(AVERAGEIF(B42:M42,"&lt;&gt;0"),0)</f>
        <v/>
      </c>
    </row>
    <row r="43" ht="15.75" customHeight="1" s="39">
      <c r="A43" s="10" t="inlineStr">
        <is>
          <t xml:space="preserve">    Travel</t>
        </is>
      </c>
      <c r="B43" s="15" t="n"/>
      <c r="C43" s="15" t="n"/>
      <c r="D43" s="15" t="n">
        <v>30.54</v>
      </c>
      <c r="E43" s="15" t="n">
        <v>917.41</v>
      </c>
      <c r="F43" s="15" t="n">
        <v>104.8</v>
      </c>
      <c r="G43" s="15" t="n"/>
      <c r="H43" s="15" t="n"/>
      <c r="I43" s="15" t="n"/>
      <c r="J43" s="15" t="n"/>
      <c r="K43" s="15" t="n"/>
      <c r="L43" s="15" t="n"/>
      <c r="M43" s="15" t="n"/>
      <c r="N43" s="15">
        <f>SUM(B43:M43)</f>
        <v/>
      </c>
      <c r="O43" s="15">
        <f>IFERROR(AVERAGEIF(B43:M43,"&lt;&gt;0"),0)</f>
        <v/>
      </c>
    </row>
    <row r="44" ht="15.75" customHeight="1" s="39">
      <c r="A44" s="10" t="inlineStr">
        <is>
          <t xml:space="preserve">    Personal Care</t>
        </is>
      </c>
      <c r="B44" s="15" t="n">
        <v>53.49999999999999</v>
      </c>
      <c r="C44" s="15" t="n">
        <v>1.439999999999998</v>
      </c>
      <c r="D44" s="15" t="n">
        <v>215.5</v>
      </c>
      <c r="E44" s="15" t="n">
        <v>96.52999999999999</v>
      </c>
      <c r="F44" s="15" t="n">
        <v>335.47</v>
      </c>
      <c r="G44" s="15" t="n"/>
      <c r="H44" s="15" t="n"/>
      <c r="I44" s="15" t="n"/>
      <c r="J44" s="15" t="n"/>
      <c r="K44" s="15" t="n"/>
      <c r="L44" s="15" t="n"/>
      <c r="M44" s="15" t="n"/>
      <c r="N44" s="15">
        <f>SUM(B44:M44)</f>
        <v/>
      </c>
      <c r="O44" s="15">
        <f>IFERROR(AVERAGEIF(B44:M44,"&lt;&gt;0"),0)</f>
        <v/>
      </c>
    </row>
    <row r="45" ht="15.75" customHeight="1" s="39">
      <c r="A45" s="10" t="inlineStr">
        <is>
          <t xml:space="preserve">    Pharmacy / Health</t>
        </is>
      </c>
      <c r="B45" s="15" t="n">
        <v>35.54</v>
      </c>
      <c r="C45" s="15" t="n">
        <v>55.34</v>
      </c>
      <c r="D45" s="15" t="n">
        <v>18</v>
      </c>
      <c r="E45" s="15" t="n">
        <v>108.71</v>
      </c>
      <c r="F45" s="15" t="n">
        <v>8.720000000000001</v>
      </c>
      <c r="G45" s="15" t="n"/>
      <c r="H45" s="15" t="n"/>
      <c r="I45" s="15" t="n"/>
      <c r="J45" s="15" t="n"/>
      <c r="K45" s="15" t="n"/>
      <c r="L45" s="15" t="n"/>
      <c r="M45" s="15" t="n"/>
      <c r="N45" s="15">
        <f>SUM(B45:M45)</f>
        <v/>
      </c>
      <c r="O45" s="15">
        <f>IFERROR(AVERAGEIF(B45:M45,"&lt;&gt;0"),0)</f>
        <v/>
      </c>
    </row>
    <row r="46" ht="15.75" customHeight="1" s="39">
      <c r="A46" s="10" t="inlineStr">
        <is>
          <t xml:space="preserve">    Home / Hardware</t>
        </is>
      </c>
      <c r="B46" s="15" t="n">
        <v>47.18000000000001</v>
      </c>
      <c r="C46" s="15" t="n">
        <v>186.05</v>
      </c>
      <c r="D46" s="15" t="n">
        <v>15.42</v>
      </c>
      <c r="E46" s="15" t="n">
        <v>224.72</v>
      </c>
      <c r="F46" s="15" t="n">
        <v>186.2</v>
      </c>
      <c r="G46" s="15" t="n"/>
      <c r="H46" s="15" t="n"/>
      <c r="I46" s="15" t="n"/>
      <c r="J46" s="15" t="n"/>
      <c r="K46" s="15" t="n"/>
      <c r="L46" s="15" t="n"/>
      <c r="M46" s="15" t="n"/>
      <c r="N46" s="15">
        <f>SUM(B46:M46)</f>
        <v/>
      </c>
      <c r="O46" s="15">
        <f>IFERROR(AVERAGEIF(B46:M46,"&lt;&gt;0"),0)</f>
        <v/>
      </c>
    </row>
    <row r="47" ht="15.75" customHeight="1" s="39">
      <c r="A47" s="10" t="inlineStr">
        <is>
          <t xml:space="preserve">    Amazon (misc)</t>
        </is>
      </c>
      <c r="B47" s="15" t="n">
        <v>856.7699999999999</v>
      </c>
      <c r="C47" s="15" t="n">
        <v>267.06</v>
      </c>
      <c r="D47" s="15" t="n">
        <v>417.23</v>
      </c>
      <c r="E47" s="15" t="n">
        <v>482.16</v>
      </c>
      <c r="F47" s="15" t="n">
        <v>356.2500000000001</v>
      </c>
      <c r="G47" s="15" t="n"/>
      <c r="H47" s="15" t="n"/>
      <c r="I47" s="15" t="n"/>
      <c r="J47" s="15" t="n"/>
      <c r="K47" s="15" t="n"/>
      <c r="L47" s="15" t="n"/>
      <c r="M47" s="15" t="n"/>
      <c r="N47" s="15">
        <f>SUM(B47:M47)</f>
        <v/>
      </c>
      <c r="O47" s="15">
        <f>IFERROR(AVERAGEIF(B47:M47,"&lt;&gt;0"),0)</f>
        <v/>
      </c>
    </row>
    <row r="48" ht="15.75" customHeight="1" s="39">
      <c r="A48" s="10" t="inlineStr">
        <is>
          <t xml:space="preserve">    Landscaping</t>
        </is>
      </c>
      <c r="B48" s="15" t="n"/>
      <c r="C48" s="15" t="n"/>
      <c r="D48" s="15" t="n"/>
      <c r="E48" s="15" t="n">
        <v>490</v>
      </c>
      <c r="F48" s="15" t="n"/>
      <c r="G48" s="15" t="n"/>
      <c r="H48" s="15" t="n"/>
      <c r="I48" s="15" t="n"/>
      <c r="J48" s="15" t="n"/>
      <c r="K48" s="15" t="n"/>
      <c r="L48" s="15" t="n"/>
      <c r="M48" s="15" t="n"/>
      <c r="N48" s="15">
        <f>SUM(B48:M48)</f>
        <v/>
      </c>
      <c r="O48" s="15">
        <f>IFERROR(AVERAGEIF(B48:M48,"&lt;&gt;0"),0)</f>
        <v/>
      </c>
    </row>
    <row r="49" ht="15.75" customHeight="1" s="39">
      <c r="A49" s="10" t="inlineStr">
        <is>
          <t xml:space="preserve">    Cash / allowances</t>
        </is>
      </c>
      <c r="B49" s="15" t="n"/>
      <c r="C49" s="15" t="n"/>
      <c r="D49" s="15" t="n"/>
      <c r="E49" s="15" t="n"/>
      <c r="F49" s="15" t="n">
        <v>300</v>
      </c>
      <c r="G49" s="15" t="n"/>
      <c r="H49" s="15" t="n"/>
      <c r="I49" s="15" t="n"/>
      <c r="J49" s="15" t="n"/>
      <c r="K49" s="15" t="n"/>
      <c r="L49" s="15" t="n"/>
      <c r="M49" s="15" t="n"/>
      <c r="N49" s="15">
        <f>SUM(B49:M49)</f>
        <v/>
      </c>
      <c r="O49" s="15">
        <f>IFERROR(AVERAGEIF(B49:M49,"&lt;&gt;0"),0)</f>
        <v/>
      </c>
    </row>
    <row r="50" ht="15.75" customHeight="1" s="39">
      <c r="A50" s="10" t="inlineStr">
        <is>
          <t xml:space="preserve">    Other / misc</t>
        </is>
      </c>
      <c r="B50" s="15" t="n">
        <v>2349.16</v>
      </c>
      <c r="C50" s="15" t="n">
        <v>461.5500000000001</v>
      </c>
      <c r="D50" s="15" t="n">
        <v>24417.03</v>
      </c>
      <c r="E50" s="15" t="n">
        <v>1839.2</v>
      </c>
      <c r="F50" s="15" t="n">
        <v>2000</v>
      </c>
      <c r="G50" s="15" t="n"/>
      <c r="H50" s="15" t="n"/>
      <c r="I50" s="15" t="n"/>
      <c r="J50" s="15" t="n"/>
      <c r="K50" s="15" t="n"/>
      <c r="L50" s="15" t="n"/>
      <c r="M50" s="15" t="n"/>
      <c r="N50" s="15">
        <f>SUM(B50:M50)</f>
        <v/>
      </c>
      <c r="O50" s="15">
        <f>IFERROR(AVERAGEIF(B50:M50,"&lt;&gt;0"),0)</f>
        <v/>
      </c>
    </row>
    <row r="51" ht="15.75" customHeight="1" s="39">
      <c r="A51" s="11" t="inlineStr">
        <is>
          <t>Total Variable Spending</t>
        </is>
      </c>
      <c r="B51" s="13" t="n">
        <v>5211.02</v>
      </c>
      <c r="C51" s="13" t="n">
        <v>3170.780000000001</v>
      </c>
      <c r="D51" s="13" t="n">
        <v>26805.59</v>
      </c>
      <c r="E51" s="13" t="n">
        <v>6919.040000000001</v>
      </c>
      <c r="F51" s="13" t="n">
        <v>5256.4</v>
      </c>
      <c r="G51" s="13" t="n">
        <v>0</v>
      </c>
      <c r="H51" s="13" t="n">
        <v>0</v>
      </c>
      <c r="I51" s="13" t="n">
        <v>0</v>
      </c>
      <c r="J51" s="13" t="n">
        <v>0</v>
      </c>
      <c r="K51" s="13" t="n">
        <v>0</v>
      </c>
      <c r="L51" s="13" t="n">
        <v>0</v>
      </c>
      <c r="M51" s="13" t="n">
        <v>0</v>
      </c>
      <c r="N51" s="13">
        <f>SUM(N38:N50)</f>
        <v/>
      </c>
      <c r="O51" s="13">
        <f>IFERROR(N51/COUNTIF(B51:M51,"&gt;0"),0)</f>
        <v/>
      </c>
    </row>
    <row r="52" ht="15.75" customHeight="1" s="39"/>
    <row r="53" ht="15.75" customHeight="1" s="39">
      <c r="A53" s="14" t="inlineStr">
        <is>
          <t>ONE-TIME / LARGE ITEMS</t>
        </is>
      </c>
      <c r="B53" s="14" t="n"/>
      <c r="C53" s="14" t="n"/>
      <c r="D53" s="14" t="n"/>
      <c r="E53" s="14" t="n"/>
      <c r="F53" s="14" t="n"/>
      <c r="G53" s="14" t="n"/>
      <c r="H53" s="14" t="n"/>
      <c r="I53" s="14" t="n"/>
      <c r="J53" s="14" t="n"/>
      <c r="K53" s="14" t="n"/>
      <c r="L53" s="14" t="n"/>
      <c r="M53" s="14" t="n"/>
      <c r="N53" s="14" t="n"/>
      <c r="O53" s="14" t="n"/>
    </row>
    <row r="54" ht="15.75" customHeight="1" s="39">
      <c r="A54" s="10" t="inlineStr">
        <is>
          <t xml:space="preserve">    Solar install (capital — see Solar tab)</t>
        </is>
      </c>
      <c r="B54" s="15" t="n"/>
      <c r="C54" s="15" t="n"/>
      <c r="D54" s="15" t="n">
        <v>26318</v>
      </c>
      <c r="E54" s="15" t="n"/>
      <c r="F54" s="15" t="n">
        <v>2000</v>
      </c>
      <c r="G54" s="15" t="n"/>
      <c r="H54" s="15" t="n"/>
      <c r="I54" s="15" t="n"/>
      <c r="J54" s="15" t="n"/>
      <c r="K54" s="15" t="n"/>
      <c r="L54" s="15" t="n"/>
      <c r="M54" s="15" t="n"/>
      <c r="N54" s="15">
        <f>SUM(B54:M54)</f>
        <v/>
      </c>
      <c r="O54" s="15">
        <f>IFERROR(N54/COUNTIF(B54:M54,"&gt;0"),0)</f>
        <v/>
      </c>
    </row>
    <row r="55" ht="15.75" customHeight="1" s="39">
      <c r="A55" s="10" t="inlineStr">
        <is>
          <t xml:space="preserve">    Federal taxes owed (April)</t>
        </is>
      </c>
      <c r="B55" s="8" t="n"/>
      <c r="C55" s="8" t="n"/>
      <c r="D55" s="8" t="n"/>
      <c r="E55" s="8" t="n">
        <v>3399.85</v>
      </c>
      <c r="F55" s="8" t="n"/>
      <c r="G55" s="8" t="n"/>
      <c r="H55" s="8" t="n"/>
      <c r="I55" s="8" t="n"/>
      <c r="J55" s="8" t="n"/>
      <c r="K55" s="8" t="n"/>
      <c r="L55" s="8" t="n"/>
      <c r="M55" s="8" t="n"/>
      <c r="N55" s="15">
        <f>SUM(B55:M55)</f>
        <v/>
      </c>
      <c r="O55" s="15">
        <f>IFERROR(AVERAGEIF(B55:M55,"&lt;&gt;0"),0)</f>
        <v/>
      </c>
    </row>
    <row r="56" ht="15.75" customHeight="1" s="39">
      <c r="A56" s="10" t="inlineStr">
        <is>
          <t xml:space="preserve">    TurboTax / tax prep</t>
        </is>
      </c>
      <c r="B56" s="8" t="n"/>
      <c r="C56" s="8" t="n"/>
      <c r="D56" s="8" t="n"/>
      <c r="E56" s="8" t="n">
        <v>3399.85</v>
      </c>
      <c r="F56" s="8" t="n"/>
      <c r="G56" s="8" t="n"/>
      <c r="H56" s="8" t="n"/>
      <c r="I56" s="8" t="n"/>
      <c r="J56" s="8" t="n"/>
      <c r="K56" s="8" t="n"/>
      <c r="L56" s="8" t="n"/>
      <c r="M56" s="8" t="n"/>
      <c r="N56" s="15">
        <f>SUM(B56:M56)</f>
        <v/>
      </c>
      <c r="O56" s="15">
        <f>IFERROR(AVERAGEIF(B56:M56,"&lt;&gt;0"),0)</f>
        <v/>
      </c>
    </row>
    <row r="57" ht="15.75" customHeight="1" s="39">
      <c r="A57" s="10" t="inlineStr">
        <is>
          <t xml:space="preserve">    Other large item</t>
        </is>
      </c>
      <c r="B57" s="8" t="n"/>
      <c r="C57" s="8" t="n"/>
      <c r="D57" s="8" t="n"/>
      <c r="E57" s="8" t="n"/>
      <c r="F57" s="8" t="n"/>
      <c r="G57" s="8" t="n"/>
      <c r="H57" s="8" t="n"/>
      <c r="I57" s="8" t="n"/>
      <c r="J57" s="8" t="n"/>
      <c r="K57" s="8" t="n"/>
      <c r="L57" s="8" t="n"/>
      <c r="M57" s="8" t="n"/>
      <c r="N57" s="15">
        <f>SUM(B57:M57)</f>
        <v/>
      </c>
      <c r="O57" s="15">
        <f>IFERROR(AVERAGEIF(B57:M57,"&lt;&gt;0"),0)</f>
        <v/>
      </c>
    </row>
    <row r="58" ht="15.75" customHeight="1" s="39">
      <c r="A58" s="11" t="inlineStr">
        <is>
          <t>Total One-Time</t>
        </is>
      </c>
      <c r="B58" s="13">
        <f>SUM(B54:B57)</f>
        <v/>
      </c>
      <c r="C58" s="13">
        <f>SUM(C54:C57)</f>
        <v/>
      </c>
      <c r="D58" s="13">
        <f>SUM(D54:D57)</f>
        <v/>
      </c>
      <c r="E58" s="13">
        <f>SUM(E54:E57)</f>
        <v/>
      </c>
      <c r="F58" s="13">
        <f>SUM(F54:F57)</f>
        <v/>
      </c>
      <c r="G58" s="13">
        <f>SUM(G54:G57)</f>
        <v/>
      </c>
      <c r="H58" s="13">
        <f>SUM(H54:H57)</f>
        <v/>
      </c>
      <c r="I58" s="13">
        <f>SUM(I54:I57)</f>
        <v/>
      </c>
      <c r="J58" s="13">
        <f>SUM(J54:J57)</f>
        <v/>
      </c>
      <c r="K58" s="13">
        <f>SUM(K54:K57)</f>
        <v/>
      </c>
      <c r="L58" s="13">
        <f>SUM(L54:L57)</f>
        <v/>
      </c>
      <c r="M58" s="13">
        <f>SUM(M54:M57)</f>
        <v/>
      </c>
      <c r="N58" s="13">
        <f>SUM(N54:N57)</f>
        <v/>
      </c>
      <c r="O58" s="13">
        <f>IFERROR(N58/COUNTIF(B58:M58,"&gt;0"),0)</f>
        <v/>
      </c>
    </row>
    <row r="59" ht="15.75" customHeight="1" s="39"/>
    <row r="60" ht="15.75" customHeight="1" s="39">
      <c r="A60" s="11" t="inlineStr">
        <is>
          <t>TOTAL EXPENSES</t>
        </is>
      </c>
      <c r="B60" s="13">
        <f>B29+B35+B51+B58</f>
        <v/>
      </c>
      <c r="C60" s="13">
        <f>C29+C35+C51+C58</f>
        <v/>
      </c>
      <c r="D60" s="13">
        <f>D29+D35+D51+D58</f>
        <v/>
      </c>
      <c r="E60" s="13">
        <f>E29+E35+E51+E58</f>
        <v/>
      </c>
      <c r="F60" s="13">
        <f>F29+F35+F51+F58</f>
        <v/>
      </c>
      <c r="G60" s="13">
        <f>G29+G35+G51+G58</f>
        <v/>
      </c>
      <c r="H60" s="13">
        <f>H29+H35+H51+H58</f>
        <v/>
      </c>
      <c r="I60" s="13">
        <f>I29+I35+I51+I58</f>
        <v/>
      </c>
      <c r="J60" s="13">
        <f>J29+J35+J51+J58</f>
        <v/>
      </c>
      <c r="K60" s="13">
        <f>K29+K35+K51+K58</f>
        <v/>
      </c>
      <c r="L60" s="13">
        <f>L29+L35+L51+L58</f>
        <v/>
      </c>
      <c r="M60" s="13">
        <f>M29+M35+M51+M58</f>
        <v/>
      </c>
      <c r="N60" s="13">
        <f>N29+N35+N51+N58</f>
        <v/>
      </c>
      <c r="O60" s="13" t="n"/>
    </row>
    <row r="61" ht="15.75" customHeight="1" s="39"/>
    <row r="62" ht="15.75" customHeight="1" s="39">
      <c r="A62" s="11" t="inlineStr">
        <is>
          <t>NET CASH FLOW (Income − Expenses)</t>
        </is>
      </c>
      <c r="B62" s="13">
        <f>B15-B60</f>
        <v/>
      </c>
      <c r="C62" s="13">
        <f>C15-C60</f>
        <v/>
      </c>
      <c r="D62" s="13">
        <f>D15-D60</f>
        <v/>
      </c>
      <c r="E62" s="13">
        <f>E15-E60</f>
        <v/>
      </c>
      <c r="F62" s="13">
        <f>F15-F60</f>
        <v/>
      </c>
      <c r="G62" s="13">
        <f>G15-G60</f>
        <v/>
      </c>
      <c r="H62" s="13">
        <f>H15-H60</f>
        <v/>
      </c>
      <c r="I62" s="13">
        <f>I15-I60</f>
        <v/>
      </c>
      <c r="J62" s="13">
        <f>J15-J60</f>
        <v/>
      </c>
      <c r="K62" s="13">
        <f>K15-K60</f>
        <v/>
      </c>
      <c r="L62" s="13">
        <f>L15-L60</f>
        <v/>
      </c>
      <c r="M62" s="13">
        <f>M15-M60</f>
        <v/>
      </c>
      <c r="N62" s="13">
        <f>N15-N60</f>
        <v/>
      </c>
      <c r="O62" s="13" t="n"/>
    </row>
    <row r="63" ht="15.75" customHeight="1" s="39"/>
    <row r="64" ht="15.75" customHeight="1" s="39">
      <c r="A64" s="14" t="inlineStr">
        <is>
          <t>RECONCILIATION</t>
        </is>
      </c>
      <c r="B64" s="14" t="n"/>
      <c r="C64" s="14" t="n"/>
      <c r="D64" s="14" t="n"/>
      <c r="E64" s="14" t="n"/>
      <c r="F64" s="14" t="n"/>
      <c r="G64" s="14" t="n"/>
      <c r="H64" s="14" t="n"/>
      <c r="I64" s="14" t="n"/>
      <c r="J64" s="14" t="n"/>
      <c r="K64" s="14" t="n"/>
      <c r="L64" s="14" t="n"/>
      <c r="M64" s="14" t="n"/>
      <c r="N64" s="14" t="n"/>
      <c r="O64" s="14" t="n"/>
    </row>
    <row r="65" ht="15.75" customHeight="1" s="39">
      <c r="A65" s="10" t="inlineStr">
        <is>
          <t xml:space="preserve">    Checking — beginning balance</t>
        </is>
      </c>
      <c r="B65" s="8" t="n">
        <v>5223.93</v>
      </c>
      <c r="C65" s="15">
        <f>B68</f>
        <v/>
      </c>
      <c r="D65" s="15">
        <f>C68</f>
        <v/>
      </c>
      <c r="E65" s="15">
        <f>D68</f>
        <v/>
      </c>
      <c r="F65" s="15">
        <f>E68</f>
        <v/>
      </c>
      <c r="G65" s="15">
        <f>F68</f>
        <v/>
      </c>
      <c r="H65" s="15">
        <f>G68</f>
        <v/>
      </c>
      <c r="I65" s="15">
        <f>H68</f>
        <v/>
      </c>
      <c r="J65" s="15">
        <f>I68</f>
        <v/>
      </c>
      <c r="K65" s="15">
        <f>J68</f>
        <v/>
      </c>
      <c r="L65" s="15">
        <f>K68</f>
        <v/>
      </c>
      <c r="M65" s="15">
        <f>L68</f>
        <v/>
      </c>
      <c r="N65" s="15" t="n"/>
      <c r="O65" s="15" t="n"/>
    </row>
    <row r="66" ht="15.75" customHeight="1" s="39">
      <c r="A66" s="10" t="inlineStr">
        <is>
          <t xml:space="preserve">    Predicted ending = beg + net cash flow</t>
        </is>
      </c>
      <c r="B66" s="15">
        <f>B65+B62</f>
        <v/>
      </c>
      <c r="C66" s="15">
        <f>C65+C62</f>
        <v/>
      </c>
      <c r="D66" s="15">
        <f>D65+D62</f>
        <v/>
      </c>
      <c r="E66" s="15">
        <f>E65+E62</f>
        <v/>
      </c>
      <c r="F66" s="15">
        <f>F65+F62</f>
        <v/>
      </c>
      <c r="G66" s="15">
        <f>G65+G62</f>
        <v/>
      </c>
      <c r="H66" s="15">
        <f>H65+H62</f>
        <v/>
      </c>
      <c r="I66" s="15">
        <f>I65+I62</f>
        <v/>
      </c>
      <c r="J66" s="15">
        <f>J65+J62</f>
        <v/>
      </c>
      <c r="K66" s="15">
        <f>K65+K62</f>
        <v/>
      </c>
      <c r="L66" s="15">
        <f>L65+L62</f>
        <v/>
      </c>
      <c r="M66" s="15">
        <f>M65+M62</f>
        <v/>
      </c>
      <c r="N66" s="15" t="n"/>
      <c r="O66" s="15" t="n"/>
    </row>
    <row r="67" ht="15.75" customHeight="1" s="39">
      <c r="A67" s="10" t="inlineStr">
        <is>
          <t xml:space="preserve">    Actual ending checking balance</t>
        </is>
      </c>
      <c r="B67" s="8" t="n">
        <v>4813</v>
      </c>
      <c r="C67" s="8" t="n">
        <v>4094</v>
      </c>
      <c r="D67" s="8" t="n">
        <v>6131</v>
      </c>
      <c r="E67" s="8" t="n">
        <v>6565</v>
      </c>
      <c r="F67" s="8" t="n">
        <v>6361</v>
      </c>
      <c r="G67" s="8" t="n"/>
      <c r="H67" s="8" t="n"/>
      <c r="I67" s="8" t="n"/>
      <c r="J67" s="8" t="n"/>
      <c r="K67" s="8" t="n"/>
      <c r="L67" s="8" t="n"/>
      <c r="M67" s="8" t="n"/>
      <c r="N67" s="15" t="n"/>
      <c r="O67" s="15" t="n"/>
    </row>
    <row r="68" ht="15.75" customHeight="1" s="39">
      <c r="A68" s="11" t="inlineStr">
        <is>
          <t xml:space="preserve">    Variance (actual − predicted)</t>
        </is>
      </c>
      <c r="B68" s="13">
        <f>B67-B66</f>
        <v/>
      </c>
      <c r="C68" s="13">
        <f>C67-C66</f>
        <v/>
      </c>
      <c r="D68" s="13">
        <f>D67-D66</f>
        <v/>
      </c>
      <c r="E68" s="13">
        <f>E67-E66</f>
        <v/>
      </c>
      <c r="F68" s="13">
        <f>F67-F66</f>
        <v/>
      </c>
      <c r="G68" s="13">
        <f>G67-G66</f>
        <v/>
      </c>
      <c r="H68" s="13">
        <f>H67-H66</f>
        <v/>
      </c>
      <c r="I68" s="13">
        <f>I67-I66</f>
        <v/>
      </c>
      <c r="J68" s="13">
        <f>J67-J66</f>
        <v/>
      </c>
      <c r="K68" s="13">
        <f>K67-K66</f>
        <v/>
      </c>
      <c r="L68" s="13">
        <f>L67-L66</f>
        <v/>
      </c>
      <c r="M68" s="13">
        <f>M67-M66</f>
        <v/>
      </c>
      <c r="N68" s="13" t="n"/>
      <c r="O68" s="13" t="n"/>
    </row>
    <row r="69" ht="15.75" customHeight="1" s="39"/>
    <row r="70" ht="15.75" customHeight="1" s="39"/>
    <row r="71" ht="15.75" customHeight="1" s="39"/>
    <row r="72" ht="15.75" customHeight="1" s="39"/>
    <row r="73" ht="15.75" customHeight="1" s="39"/>
    <row r="74" ht="15.75" customHeight="1" s="39"/>
    <row r="75" ht="15.75" customHeight="1" s="39"/>
    <row r="76" ht="15.75" customHeight="1" s="39"/>
    <row r="77" ht="15.75" customHeight="1" s="39"/>
    <row r="78" ht="15.75" customHeight="1" s="39"/>
    <row r="79" ht="15.75" customHeight="1" s="39"/>
    <row r="80" ht="15.75" customHeight="1" s="39"/>
    <row r="81" ht="15.75" customHeight="1" s="39"/>
    <row r="82" ht="15.75" customHeight="1" s="39"/>
    <row r="83" ht="15.75" customHeight="1" s="39"/>
    <row r="84" ht="15.75" customHeight="1" s="39"/>
    <row r="85" ht="15.75" customHeight="1" s="39"/>
    <row r="86" ht="15.75" customHeight="1" s="39"/>
    <row r="87" ht="15.75" customHeight="1" s="39"/>
    <row r="88" ht="15.75" customHeight="1" s="39"/>
    <row r="89" ht="15.75" customHeight="1" s="39"/>
    <row r="90" ht="15.75" customHeight="1" s="39"/>
    <row r="91" ht="15.75" customHeight="1" s="39"/>
    <row r="92" ht="15.75" customHeight="1" s="39"/>
    <row r="93" ht="15.75" customHeight="1" s="39"/>
    <row r="94" ht="15.75" customHeight="1" s="39"/>
    <row r="95" ht="15.75" customHeight="1" s="39"/>
    <row r="96" ht="15.75" customHeight="1" s="39"/>
    <row r="97" ht="15.75" customHeight="1" s="39"/>
    <row r="98" ht="15.75" customHeight="1" s="39"/>
    <row r="99" ht="15.75" customHeight="1" s="39"/>
    <row r="100" ht="15.75" customHeight="1" s="39"/>
    <row r="101" ht="15.75" customHeight="1" s="39"/>
    <row r="102" ht="15.75" customHeight="1" s="39"/>
    <row r="103" ht="15.75" customHeight="1" s="39"/>
    <row r="104" ht="15.75" customHeight="1" s="39"/>
    <row r="105" ht="15.75" customHeight="1" s="39"/>
    <row r="106" ht="15.75" customHeight="1" s="39"/>
    <row r="107" ht="15.75" customHeight="1" s="39"/>
    <row r="108" ht="15.75" customHeight="1" s="39"/>
    <row r="109" ht="15.75" customHeight="1" s="39"/>
    <row r="110" ht="15.75" customHeight="1" s="39"/>
    <row r="111" ht="15.75" customHeight="1" s="39"/>
    <row r="112" ht="15.75" customHeight="1" s="39"/>
    <row r="113" ht="15.75" customHeight="1" s="39"/>
    <row r="114" ht="15.75" customHeight="1" s="39"/>
    <row r="115" ht="15.75" customHeight="1" s="39"/>
    <row r="116" ht="15.75" customHeight="1" s="39"/>
    <row r="117" ht="15.75" customHeight="1" s="39"/>
    <row r="118" ht="15.75" customHeight="1" s="39"/>
    <row r="119" ht="15.75" customHeight="1" s="39"/>
    <row r="120" ht="15.75" customHeight="1" s="39"/>
    <row r="121" ht="15.75" customHeight="1" s="39"/>
    <row r="122" ht="15.75" customHeight="1" s="39"/>
    <row r="123" ht="15.75" customHeight="1" s="39"/>
    <row r="124" ht="15.75" customHeight="1" s="39"/>
    <row r="125" ht="15.75" customHeight="1" s="39"/>
    <row r="126" ht="15.75" customHeight="1" s="39"/>
    <row r="127" ht="15.75" customHeight="1" s="39"/>
    <row r="128" ht="15.75" customHeight="1" s="39"/>
    <row r="129" ht="15.75" customHeight="1" s="39"/>
    <row r="130" ht="15.75" customHeight="1" s="39"/>
    <row r="131" ht="15.75" customHeight="1" s="39"/>
    <row r="132" ht="15.75" customHeight="1" s="39"/>
    <row r="133" ht="15.75" customHeight="1" s="39"/>
    <row r="134" ht="15.75" customHeight="1" s="39"/>
    <row r="135" ht="15.75" customHeight="1" s="39"/>
    <row r="136" ht="15.75" customHeight="1" s="39"/>
    <row r="137" ht="15.75" customHeight="1" s="39"/>
    <row r="138" ht="15.75" customHeight="1" s="39"/>
    <row r="139" ht="15.75" customHeight="1" s="39"/>
    <row r="140" ht="15.75" customHeight="1" s="39"/>
    <row r="141" ht="15.75" customHeight="1" s="39"/>
    <row r="142" ht="15.75" customHeight="1" s="39"/>
    <row r="143" ht="15.75" customHeight="1" s="39"/>
    <row r="144" ht="15.75" customHeight="1" s="39"/>
    <row r="145" ht="15.75" customHeight="1" s="39"/>
    <row r="146" ht="15.75" customHeight="1" s="39"/>
    <row r="147" ht="15.75" customHeight="1" s="39"/>
    <row r="148" ht="15.75" customHeight="1" s="39"/>
    <row r="149" ht="15.75" customHeight="1" s="39"/>
    <row r="150" ht="15.75" customHeight="1" s="39"/>
    <row r="151" ht="15.75" customHeight="1" s="39"/>
    <row r="152" ht="15.75" customHeight="1" s="39"/>
    <row r="153" ht="15.75" customHeight="1" s="39"/>
    <row r="154" ht="15.75" customHeight="1" s="39"/>
    <row r="155" ht="15.75" customHeight="1" s="39"/>
    <row r="156" ht="15.75" customHeight="1" s="39"/>
    <row r="157" ht="15.75" customHeight="1" s="39"/>
    <row r="158" ht="15.75" customHeight="1" s="39"/>
    <row r="159" ht="15.75" customHeight="1" s="39"/>
    <row r="160" ht="15.75" customHeight="1" s="39"/>
    <row r="161" ht="15.75" customHeight="1" s="39"/>
    <row r="162" ht="15.75" customHeight="1" s="39"/>
    <row r="163" ht="15.75" customHeight="1" s="39"/>
    <row r="164" ht="15.75" customHeight="1" s="39"/>
    <row r="165" ht="15.75" customHeight="1" s="39"/>
    <row r="166" ht="15.75" customHeight="1" s="39"/>
    <row r="167" ht="15.75" customHeight="1" s="39"/>
    <row r="168" ht="15.75" customHeight="1" s="39"/>
    <row r="169" ht="15.75" customHeight="1" s="39"/>
    <row r="170" ht="15.75" customHeight="1" s="39"/>
    <row r="171" ht="15.75" customHeight="1" s="39"/>
    <row r="172" ht="15.75" customHeight="1" s="39"/>
    <row r="173" ht="15.75" customHeight="1" s="39"/>
    <row r="174" ht="15.75" customHeight="1" s="39"/>
    <row r="175" ht="15.75" customHeight="1" s="39"/>
    <row r="176" ht="15.75" customHeight="1" s="39"/>
    <row r="177" ht="15.75" customHeight="1" s="39"/>
    <row r="178" ht="15.75" customHeight="1" s="39"/>
    <row r="179" ht="15.75" customHeight="1" s="39"/>
    <row r="180" ht="15.75" customHeight="1" s="39"/>
    <row r="181" ht="15.75" customHeight="1" s="39"/>
    <row r="182" ht="15.75" customHeight="1" s="39"/>
    <row r="183" ht="15.75" customHeight="1" s="39"/>
    <row r="184" ht="15.75" customHeight="1" s="39"/>
    <row r="185" ht="15.75" customHeight="1" s="39"/>
    <row r="186" ht="15.75" customHeight="1" s="39"/>
    <row r="187" ht="15.75" customHeight="1" s="39"/>
    <row r="188" ht="15.75" customHeight="1" s="39"/>
    <row r="189" ht="15.75" customHeight="1" s="39"/>
    <row r="190" ht="15.75" customHeight="1" s="39"/>
    <row r="191" ht="15.75" customHeight="1" s="39"/>
    <row r="192" ht="15.75" customHeight="1" s="39"/>
    <row r="193" ht="15.75" customHeight="1" s="39"/>
    <row r="194" ht="15.75" customHeight="1" s="39"/>
    <row r="195" ht="15.75" customHeight="1" s="39"/>
    <row r="196" ht="15.75" customHeight="1" s="39"/>
    <row r="197" ht="15.75" customHeight="1" s="39"/>
    <row r="198" ht="15.75" customHeight="1" s="39"/>
    <row r="199" ht="15.75" customHeight="1" s="39"/>
    <row r="200" ht="15.75" customHeight="1" s="39"/>
    <row r="201" ht="15.75" customHeight="1" s="39"/>
    <row r="202" ht="15.75" customHeight="1" s="39"/>
    <row r="203" ht="15.75" customHeight="1" s="39"/>
    <row r="204" ht="15.75" customHeight="1" s="39"/>
    <row r="205" ht="15.75" customHeight="1" s="39"/>
    <row r="206" ht="15.75" customHeight="1" s="39"/>
    <row r="207" ht="15.75" customHeight="1" s="39"/>
    <row r="208" ht="15.75" customHeight="1" s="39"/>
    <row r="209" ht="15.75" customHeight="1" s="39"/>
    <row r="210" ht="15.75" customHeight="1" s="39"/>
    <row r="211" ht="15.75" customHeight="1" s="39"/>
    <row r="212" ht="15.75" customHeight="1" s="39"/>
    <row r="213" ht="15.75" customHeight="1" s="39"/>
    <row r="214" ht="15.75" customHeight="1" s="39"/>
    <row r="215" ht="15.75" customHeight="1" s="39"/>
    <row r="216" ht="15.75" customHeight="1" s="39"/>
    <row r="217" ht="15.75" customHeight="1" s="39"/>
    <row r="218" ht="15.75" customHeight="1" s="39"/>
    <row r="219" ht="15.75" customHeight="1" s="39"/>
    <row r="220" ht="15.75" customHeight="1" s="39"/>
    <row r="221" ht="15.75" customHeight="1" s="39"/>
    <row r="222" ht="15.75" customHeight="1" s="39"/>
    <row r="223" ht="15.75" customHeight="1" s="39"/>
    <row r="224" ht="15.75" customHeight="1" s="39"/>
    <row r="225" ht="15.75" customHeight="1" s="39"/>
    <row r="226" ht="15.75" customHeight="1" s="39"/>
    <row r="227" ht="15.75" customHeight="1" s="39"/>
    <row r="228" ht="15.75" customHeight="1" s="39"/>
    <row r="229" ht="15.75" customHeight="1" s="39"/>
    <row r="230" ht="15.75" customHeight="1" s="39"/>
    <row r="231" ht="15.75" customHeight="1" s="39"/>
    <row r="232" ht="15.75" customHeight="1" s="39"/>
    <row r="233" ht="15.75" customHeight="1" s="39"/>
    <row r="234" ht="15.75" customHeight="1" s="39"/>
    <row r="235" ht="15.75" customHeight="1" s="39"/>
    <row r="236" ht="15.75" customHeight="1" s="39"/>
    <row r="237" ht="15.75" customHeight="1" s="39"/>
    <row r="238" ht="15.75" customHeight="1" s="39"/>
    <row r="239" ht="15.75" customHeight="1" s="39"/>
    <row r="240" ht="15.75" customHeight="1" s="39"/>
    <row r="241" ht="15.75" customHeight="1" s="39"/>
    <row r="242" ht="15.75" customHeight="1" s="39"/>
    <row r="243" ht="15.75" customHeight="1" s="39"/>
    <row r="244" ht="15.75" customHeight="1" s="39"/>
    <row r="245" ht="15.75" customHeight="1" s="39"/>
    <row r="246" ht="15.75" customHeight="1" s="39"/>
    <row r="247" ht="15.75" customHeight="1" s="39"/>
    <row r="248" ht="15.75" customHeight="1" s="39"/>
    <row r="249" ht="15.75" customHeight="1" s="39"/>
    <row r="250" ht="15.75" customHeight="1" s="39"/>
    <row r="251" ht="15.75" customHeight="1" s="39"/>
    <row r="252" ht="15.75" customHeight="1" s="39"/>
    <row r="253" ht="15.75" customHeight="1" s="39"/>
    <row r="254" ht="15.75" customHeight="1" s="39"/>
    <row r="255" ht="15.75" customHeight="1" s="39"/>
    <row r="256" ht="15.75" customHeight="1" s="39"/>
    <row r="257" ht="15.75" customHeight="1" s="39"/>
    <row r="258" ht="15.75" customHeight="1" s="39"/>
    <row r="259" ht="15.75" customHeight="1" s="39"/>
    <row r="260" ht="15.75" customHeight="1" s="39"/>
    <row r="261" ht="15.75" customHeight="1" s="39"/>
    <row r="262" ht="15.75" customHeight="1" s="39"/>
    <row r="263" ht="15.75" customHeight="1" s="39"/>
    <row r="264" ht="15.75" customHeight="1" s="39"/>
    <row r="265" ht="15.75" customHeight="1" s="39"/>
    <row r="266" ht="15.75" customHeight="1" s="39"/>
    <row r="267" ht="15.75" customHeight="1" s="39"/>
    <row r="268" ht="15.75" customHeight="1" s="39"/>
    <row r="269" ht="15.75" customHeight="1" s="39"/>
    <row r="270" ht="15.75" customHeight="1" s="39"/>
    <row r="271" ht="15.75" customHeight="1" s="39"/>
    <row r="272" ht="15.75" customHeight="1" s="39"/>
    <row r="273" ht="15.75" customHeight="1" s="39"/>
    <row r="274" ht="15.75" customHeight="1" s="39"/>
    <row r="275" ht="15.75" customHeight="1" s="39"/>
    <row r="276" ht="15.75" customHeight="1" s="39"/>
    <row r="277" ht="15.75" customHeight="1" s="39"/>
    <row r="278" ht="15.75" customHeight="1" s="39"/>
    <row r="279" ht="15.75" customHeight="1" s="39"/>
    <row r="280" ht="15.75" customHeight="1" s="39"/>
    <row r="281" ht="15.75" customHeight="1" s="39"/>
    <row r="282" ht="15.75" customHeight="1" s="39"/>
    <row r="283" ht="15.75" customHeight="1" s="39"/>
    <row r="284" ht="15.75" customHeight="1" s="39"/>
    <row r="285" ht="15.75" customHeight="1" s="39"/>
    <row r="286" ht="15.75" customHeight="1" s="39"/>
    <row r="287" ht="15.75" customHeight="1" s="39"/>
    <row r="288" ht="15.75" customHeight="1" s="39"/>
    <row r="289" ht="15.75" customHeight="1" s="39"/>
    <row r="290" ht="15.75" customHeight="1" s="39"/>
    <row r="291" ht="15.75" customHeight="1" s="39"/>
    <row r="292" ht="15.75" customHeight="1" s="39"/>
    <row r="293" ht="15.75" customHeight="1" s="39"/>
    <row r="294" ht="15.75" customHeight="1" s="39"/>
    <row r="295" ht="15.75" customHeight="1" s="39"/>
    <row r="296" ht="15.75" customHeight="1" s="39"/>
    <row r="297" ht="15.75" customHeight="1" s="39"/>
    <row r="298" ht="15.75" customHeight="1" s="39"/>
    <row r="299" ht="15.75" customHeight="1" s="39"/>
    <row r="300" ht="15.75" customHeight="1" s="39"/>
    <row r="301" ht="15.75" customHeight="1" s="39"/>
    <row r="302" ht="15.75" customHeight="1" s="39"/>
    <row r="303" ht="15.75" customHeight="1" s="39"/>
    <row r="304" ht="15.75" customHeight="1" s="39"/>
    <row r="305" ht="15.75" customHeight="1" s="39"/>
    <row r="306" ht="15.75" customHeight="1" s="39"/>
    <row r="307" ht="15.75" customHeight="1" s="39"/>
    <row r="308" ht="15.75" customHeight="1" s="39"/>
    <row r="309" ht="15.75" customHeight="1" s="39"/>
    <row r="310" ht="15.75" customHeight="1" s="39"/>
    <row r="311" ht="15.75" customHeight="1" s="39"/>
    <row r="312" ht="15.75" customHeight="1" s="39"/>
    <row r="313" ht="15.75" customHeight="1" s="39"/>
    <row r="314" ht="15.75" customHeight="1" s="39"/>
    <row r="315" ht="15.75" customHeight="1" s="39"/>
    <row r="316" ht="15.75" customHeight="1" s="39"/>
    <row r="317" ht="15.75" customHeight="1" s="39"/>
    <row r="318" ht="15.75" customHeight="1" s="39"/>
    <row r="319" ht="15.75" customHeight="1" s="39"/>
    <row r="320" ht="15.75" customHeight="1" s="39"/>
    <row r="321" ht="15.75" customHeight="1" s="39"/>
    <row r="322" ht="15.75" customHeight="1" s="39"/>
    <row r="323" ht="15.75" customHeight="1" s="39"/>
    <row r="324" ht="15.75" customHeight="1" s="39"/>
    <row r="325" ht="15.75" customHeight="1" s="39"/>
    <row r="326" ht="15.75" customHeight="1" s="39"/>
    <row r="327" ht="15.75" customHeight="1" s="39"/>
    <row r="328" ht="15.75" customHeight="1" s="39"/>
    <row r="329" ht="15.75" customHeight="1" s="39"/>
    <row r="330" ht="15.75" customHeight="1" s="39"/>
    <row r="331" ht="15.75" customHeight="1" s="39"/>
    <row r="332" ht="15.75" customHeight="1" s="39"/>
    <row r="333" ht="15.75" customHeight="1" s="39"/>
    <row r="334" ht="15.75" customHeight="1" s="39"/>
    <row r="335" ht="15.75" customHeight="1" s="39"/>
    <row r="336" ht="15.75" customHeight="1" s="39"/>
    <row r="337" ht="15.75" customHeight="1" s="39"/>
    <row r="338" ht="15.75" customHeight="1" s="39"/>
    <row r="339" ht="15.75" customHeight="1" s="39"/>
    <row r="340" ht="15.75" customHeight="1" s="39"/>
    <row r="341" ht="15.75" customHeight="1" s="39"/>
    <row r="342" ht="15.75" customHeight="1" s="39"/>
    <row r="343" ht="15.75" customHeight="1" s="39"/>
    <row r="344" ht="15.75" customHeight="1" s="39"/>
    <row r="345" ht="15.75" customHeight="1" s="39"/>
    <row r="346" ht="15.75" customHeight="1" s="39"/>
    <row r="347" ht="15.75" customHeight="1" s="39"/>
    <row r="348" ht="15.75" customHeight="1" s="39"/>
    <row r="349" ht="15.75" customHeight="1" s="39"/>
    <row r="350" ht="15.75" customHeight="1" s="39"/>
    <row r="351" ht="15.75" customHeight="1" s="39"/>
    <row r="352" ht="15.75" customHeight="1" s="39"/>
    <row r="353" ht="15.75" customHeight="1" s="39"/>
    <row r="354" ht="15.75" customHeight="1" s="39"/>
    <row r="355" ht="15.75" customHeight="1" s="39"/>
    <row r="356" ht="15.75" customHeight="1" s="39"/>
    <row r="357" ht="15.75" customHeight="1" s="39"/>
    <row r="358" ht="15.75" customHeight="1" s="39"/>
    <row r="359" ht="15.75" customHeight="1" s="39"/>
    <row r="360" ht="15.75" customHeight="1" s="39"/>
    <row r="361" ht="15.75" customHeight="1" s="39"/>
    <row r="362" ht="15.75" customHeight="1" s="39"/>
    <row r="363" ht="15.75" customHeight="1" s="39"/>
    <row r="364" ht="15.75" customHeight="1" s="39"/>
    <row r="365" ht="15.75" customHeight="1" s="39"/>
    <row r="366" ht="15.75" customHeight="1" s="39"/>
    <row r="367" ht="15.75" customHeight="1" s="39"/>
    <row r="368" ht="15.75" customHeight="1" s="39"/>
    <row r="369" ht="15.75" customHeight="1" s="39"/>
    <row r="370" ht="15.75" customHeight="1" s="39"/>
    <row r="371" ht="15.75" customHeight="1" s="39"/>
    <row r="372" ht="15.75" customHeight="1" s="39"/>
    <row r="373" ht="15.75" customHeight="1" s="39"/>
    <row r="374" ht="15.75" customHeight="1" s="39"/>
    <row r="375" ht="15.75" customHeight="1" s="39"/>
    <row r="376" ht="15.75" customHeight="1" s="39"/>
    <row r="377" ht="15.75" customHeight="1" s="39"/>
    <row r="378" ht="15.75" customHeight="1" s="39"/>
    <row r="379" ht="15.75" customHeight="1" s="39"/>
    <row r="380" ht="15.75" customHeight="1" s="39"/>
    <row r="381" ht="15.75" customHeight="1" s="39"/>
    <row r="382" ht="15.75" customHeight="1" s="39"/>
    <row r="383" ht="15.75" customHeight="1" s="39"/>
    <row r="384" ht="15.75" customHeight="1" s="39"/>
    <row r="385" ht="15.75" customHeight="1" s="39"/>
    <row r="386" ht="15.75" customHeight="1" s="39"/>
    <row r="387" ht="15.75" customHeight="1" s="39"/>
    <row r="388" ht="15.75" customHeight="1" s="39"/>
    <row r="389" ht="15.75" customHeight="1" s="39"/>
    <row r="390" ht="15.75" customHeight="1" s="39"/>
    <row r="391" ht="15.75" customHeight="1" s="39"/>
    <row r="392" ht="15.75" customHeight="1" s="39"/>
    <row r="393" ht="15.75" customHeight="1" s="39"/>
    <row r="394" ht="15.75" customHeight="1" s="39"/>
    <row r="395" ht="15.75" customHeight="1" s="39"/>
    <row r="396" ht="15.75" customHeight="1" s="39"/>
    <row r="397" ht="15.75" customHeight="1" s="39"/>
    <row r="398" ht="15.75" customHeight="1" s="39"/>
    <row r="399" ht="15.75" customHeight="1" s="39"/>
    <row r="400" ht="15.75" customHeight="1" s="39"/>
    <row r="401" ht="15.75" customHeight="1" s="39"/>
    <row r="402" ht="15.75" customHeight="1" s="39"/>
    <row r="403" ht="15.75" customHeight="1" s="39"/>
    <row r="404" ht="15.75" customHeight="1" s="39"/>
    <row r="405" ht="15.75" customHeight="1" s="39"/>
    <row r="406" ht="15.75" customHeight="1" s="39"/>
    <row r="407" ht="15.75" customHeight="1" s="39"/>
    <row r="408" ht="15.75" customHeight="1" s="39"/>
    <row r="409" ht="15.75" customHeight="1" s="39"/>
    <row r="410" ht="15.75" customHeight="1" s="39"/>
    <row r="411" ht="15.75" customHeight="1" s="39"/>
    <row r="412" ht="15.75" customHeight="1" s="39"/>
    <row r="413" ht="15.75" customHeight="1" s="39"/>
    <row r="414" ht="15.75" customHeight="1" s="39"/>
    <row r="415" ht="15.75" customHeight="1" s="39"/>
    <row r="416" ht="15.75" customHeight="1" s="39"/>
    <row r="417" ht="15.75" customHeight="1" s="39"/>
    <row r="418" ht="15.75" customHeight="1" s="39"/>
    <row r="419" ht="15.75" customHeight="1" s="39"/>
    <row r="420" ht="15.75" customHeight="1" s="39"/>
    <row r="421" ht="15.75" customHeight="1" s="39"/>
    <row r="422" ht="15.75" customHeight="1" s="39"/>
    <row r="423" ht="15.75" customHeight="1" s="39"/>
    <row r="424" ht="15.75" customHeight="1" s="39"/>
    <row r="425" ht="15.75" customHeight="1" s="39"/>
    <row r="426" ht="15.75" customHeight="1" s="39"/>
    <row r="427" ht="15.75" customHeight="1" s="39"/>
    <row r="428" ht="15.75" customHeight="1" s="39"/>
    <row r="429" ht="15.75" customHeight="1" s="39"/>
    <row r="430" ht="15.75" customHeight="1" s="39"/>
    <row r="431" ht="15.75" customHeight="1" s="39"/>
    <row r="432" ht="15.75" customHeight="1" s="39"/>
    <row r="433" ht="15.75" customHeight="1" s="39"/>
    <row r="434" ht="15.75" customHeight="1" s="39"/>
    <row r="435" ht="15.75" customHeight="1" s="39"/>
    <row r="436" ht="15.75" customHeight="1" s="39"/>
    <row r="437" ht="15.75" customHeight="1" s="39"/>
    <row r="438" ht="15.75" customHeight="1" s="39"/>
    <row r="439" ht="15.75" customHeight="1" s="39"/>
    <row r="440" ht="15.75" customHeight="1" s="39"/>
    <row r="441" ht="15.75" customHeight="1" s="39"/>
    <row r="442" ht="15.75" customHeight="1" s="39"/>
    <row r="443" ht="15.75" customHeight="1" s="39"/>
    <row r="444" ht="15.75" customHeight="1" s="39"/>
    <row r="445" ht="15.75" customHeight="1" s="39"/>
    <row r="446" ht="15.75" customHeight="1" s="39"/>
    <row r="447" ht="15.75" customHeight="1" s="39"/>
    <row r="448" ht="15.75" customHeight="1" s="39"/>
    <row r="449" ht="15.75" customHeight="1" s="39"/>
    <row r="450" ht="15.75" customHeight="1" s="39"/>
    <row r="451" ht="15.75" customHeight="1" s="39"/>
    <row r="452" ht="15.75" customHeight="1" s="39"/>
    <row r="453" ht="15.75" customHeight="1" s="39"/>
    <row r="454" ht="15.75" customHeight="1" s="39"/>
    <row r="455" ht="15.75" customHeight="1" s="39"/>
    <row r="456" ht="15.75" customHeight="1" s="39"/>
    <row r="457" ht="15.75" customHeight="1" s="39"/>
    <row r="458" ht="15.75" customHeight="1" s="39"/>
    <row r="459" ht="15.75" customHeight="1" s="39"/>
    <row r="460" ht="15.75" customHeight="1" s="39"/>
    <row r="461" ht="15.75" customHeight="1" s="39"/>
    <row r="462" ht="15.75" customHeight="1" s="39"/>
    <row r="463" ht="15.75" customHeight="1" s="39"/>
    <row r="464" ht="15.75" customHeight="1" s="39"/>
    <row r="465" ht="15.75" customHeight="1" s="39"/>
    <row r="466" ht="15.75" customHeight="1" s="39"/>
    <row r="467" ht="15.75" customHeight="1" s="39"/>
    <row r="468" ht="15.75" customHeight="1" s="39"/>
    <row r="469" ht="15.75" customHeight="1" s="39"/>
    <row r="470" ht="15.75" customHeight="1" s="39"/>
    <row r="471" ht="15.75" customHeight="1" s="39"/>
    <row r="472" ht="15.75" customHeight="1" s="39"/>
    <row r="473" ht="15.75" customHeight="1" s="39"/>
    <row r="474" ht="15.75" customHeight="1" s="39"/>
    <row r="475" ht="15.75" customHeight="1" s="39"/>
    <row r="476" ht="15.75" customHeight="1" s="39"/>
    <row r="477" ht="15.75" customHeight="1" s="39"/>
    <row r="478" ht="15.75" customHeight="1" s="39"/>
    <row r="479" ht="15.75" customHeight="1" s="39"/>
    <row r="480" ht="15.75" customHeight="1" s="39"/>
    <row r="481" ht="15.75" customHeight="1" s="39"/>
    <row r="482" ht="15.75" customHeight="1" s="39"/>
    <row r="483" ht="15.75" customHeight="1" s="39"/>
    <row r="484" ht="15.75" customHeight="1" s="39"/>
    <row r="485" ht="15.75" customHeight="1" s="39"/>
    <row r="486" ht="15.75" customHeight="1" s="39"/>
    <row r="487" ht="15.75" customHeight="1" s="39"/>
    <row r="488" ht="15.75" customHeight="1" s="39"/>
    <row r="489" ht="15.75" customHeight="1" s="39"/>
    <row r="490" ht="15.75" customHeight="1" s="39"/>
    <row r="491" ht="15.75" customHeight="1" s="39"/>
    <row r="492" ht="15.75" customHeight="1" s="39"/>
    <row r="493" ht="15.75" customHeight="1" s="39"/>
    <row r="494" ht="15.75" customHeight="1" s="39"/>
    <row r="495" ht="15.75" customHeight="1" s="39"/>
    <row r="496" ht="15.75" customHeight="1" s="39"/>
    <row r="497" ht="15.75" customHeight="1" s="39"/>
    <row r="498" ht="15.75" customHeight="1" s="39"/>
    <row r="499" ht="15.75" customHeight="1" s="39"/>
    <row r="500" ht="15.75" customHeight="1" s="39"/>
    <row r="501" ht="15.75" customHeight="1" s="39"/>
    <row r="502" ht="15.75" customHeight="1" s="39"/>
    <row r="503" ht="15.75" customHeight="1" s="39"/>
    <row r="504" ht="15.75" customHeight="1" s="39"/>
    <row r="505" ht="15.75" customHeight="1" s="39"/>
    <row r="506" ht="15.75" customHeight="1" s="39"/>
    <row r="507" ht="15.75" customHeight="1" s="39"/>
    <row r="508" ht="15.75" customHeight="1" s="39"/>
    <row r="509" ht="15.75" customHeight="1" s="39"/>
    <row r="510" ht="15.75" customHeight="1" s="39"/>
    <row r="511" ht="15.75" customHeight="1" s="39"/>
    <row r="512" ht="15.75" customHeight="1" s="39"/>
    <row r="513" ht="15.75" customHeight="1" s="39"/>
    <row r="514" ht="15.75" customHeight="1" s="39"/>
    <row r="515" ht="15.75" customHeight="1" s="39"/>
    <row r="516" ht="15.75" customHeight="1" s="39"/>
    <row r="517" ht="15.75" customHeight="1" s="39"/>
    <row r="518" ht="15.75" customHeight="1" s="39"/>
    <row r="519" ht="15.75" customHeight="1" s="39"/>
    <row r="520" ht="15.75" customHeight="1" s="39"/>
    <row r="521" ht="15.75" customHeight="1" s="39"/>
    <row r="522" ht="15.75" customHeight="1" s="39"/>
    <row r="523" ht="15.75" customHeight="1" s="39"/>
    <row r="524" ht="15.75" customHeight="1" s="39"/>
    <row r="525" ht="15.75" customHeight="1" s="39"/>
    <row r="526" ht="15.75" customHeight="1" s="39"/>
    <row r="527" ht="15.75" customHeight="1" s="39"/>
    <row r="528" ht="15.75" customHeight="1" s="39"/>
    <row r="529" ht="15.75" customHeight="1" s="39"/>
    <row r="530" ht="15.75" customHeight="1" s="39"/>
    <row r="531" ht="15.75" customHeight="1" s="39"/>
    <row r="532" ht="15.75" customHeight="1" s="39"/>
    <row r="533" ht="15.75" customHeight="1" s="39"/>
    <row r="534" ht="15.75" customHeight="1" s="39"/>
    <row r="535" ht="15.75" customHeight="1" s="39"/>
    <row r="536" ht="15.75" customHeight="1" s="39"/>
    <row r="537" ht="15.75" customHeight="1" s="39"/>
    <row r="538" ht="15.75" customHeight="1" s="39"/>
    <row r="539" ht="15.75" customHeight="1" s="39"/>
    <row r="540" ht="15.75" customHeight="1" s="39"/>
    <row r="541" ht="15.75" customHeight="1" s="39"/>
    <row r="542" ht="15.75" customHeight="1" s="39"/>
    <row r="543" ht="15.75" customHeight="1" s="39"/>
    <row r="544" ht="15.75" customHeight="1" s="39"/>
    <row r="545" ht="15.75" customHeight="1" s="39"/>
    <row r="546" ht="15.75" customHeight="1" s="39"/>
    <row r="547" ht="15.75" customHeight="1" s="39"/>
    <row r="548" ht="15.75" customHeight="1" s="39"/>
    <row r="549" ht="15.75" customHeight="1" s="39"/>
    <row r="550" ht="15.75" customHeight="1" s="39"/>
    <row r="551" ht="15.75" customHeight="1" s="39"/>
    <row r="552" ht="15.75" customHeight="1" s="39"/>
    <row r="553" ht="15.75" customHeight="1" s="39"/>
    <row r="554" ht="15.75" customHeight="1" s="39"/>
    <row r="555" ht="15.75" customHeight="1" s="39"/>
    <row r="556" ht="15.75" customHeight="1" s="39"/>
    <row r="557" ht="15.75" customHeight="1" s="39"/>
    <row r="558" ht="15.75" customHeight="1" s="39"/>
    <row r="559" ht="15.75" customHeight="1" s="39"/>
    <row r="560" ht="15.75" customHeight="1" s="39"/>
    <row r="561" ht="15.75" customHeight="1" s="39"/>
    <row r="562" ht="15.75" customHeight="1" s="39"/>
    <row r="563" ht="15.75" customHeight="1" s="39"/>
    <row r="564" ht="15.75" customHeight="1" s="39"/>
    <row r="565" ht="15.75" customHeight="1" s="39"/>
    <row r="566" ht="15.75" customHeight="1" s="39"/>
    <row r="567" ht="15.75" customHeight="1" s="39"/>
    <row r="568" ht="15.75" customHeight="1" s="39"/>
    <row r="569" ht="15.75" customHeight="1" s="39"/>
    <row r="570" ht="15.75" customHeight="1" s="39"/>
    <row r="571" ht="15.75" customHeight="1" s="39"/>
    <row r="572" ht="15.75" customHeight="1" s="39"/>
    <row r="573" ht="15.75" customHeight="1" s="39"/>
    <row r="574" ht="15.75" customHeight="1" s="39"/>
    <row r="575" ht="15.75" customHeight="1" s="39"/>
    <row r="576" ht="15.75" customHeight="1" s="39"/>
    <row r="577" ht="15.75" customHeight="1" s="39"/>
    <row r="578" ht="15.75" customHeight="1" s="39"/>
    <row r="579" ht="15.75" customHeight="1" s="39"/>
    <row r="580" ht="15.75" customHeight="1" s="39"/>
    <row r="581" ht="15.75" customHeight="1" s="39"/>
    <row r="582" ht="15.75" customHeight="1" s="39"/>
    <row r="583" ht="15.75" customHeight="1" s="39"/>
    <row r="584" ht="15.75" customHeight="1" s="39"/>
    <row r="585" ht="15.75" customHeight="1" s="39"/>
    <row r="586" ht="15.75" customHeight="1" s="39"/>
    <row r="587" ht="15.75" customHeight="1" s="39"/>
    <row r="588" ht="15.75" customHeight="1" s="39"/>
    <row r="589" ht="15.75" customHeight="1" s="39"/>
    <row r="590" ht="15.75" customHeight="1" s="39"/>
    <row r="591" ht="15.75" customHeight="1" s="39"/>
    <row r="592" ht="15.75" customHeight="1" s="39"/>
    <row r="593" ht="15.75" customHeight="1" s="39"/>
    <row r="594" ht="15.75" customHeight="1" s="39"/>
    <row r="595" ht="15.75" customHeight="1" s="39"/>
    <row r="596" ht="15.75" customHeight="1" s="39"/>
    <row r="597" ht="15.75" customHeight="1" s="39"/>
    <row r="598" ht="15.75" customHeight="1" s="39"/>
    <row r="599" ht="15.75" customHeight="1" s="39"/>
    <row r="600" ht="15.75" customHeight="1" s="39"/>
    <row r="601" ht="15.75" customHeight="1" s="39"/>
    <row r="602" ht="15.75" customHeight="1" s="39"/>
    <row r="603" ht="15.75" customHeight="1" s="39"/>
    <row r="604" ht="15.75" customHeight="1" s="39"/>
    <row r="605" ht="15.75" customHeight="1" s="39"/>
    <row r="606" ht="15.75" customHeight="1" s="39"/>
    <row r="607" ht="15.75" customHeight="1" s="39"/>
    <row r="608" ht="15.75" customHeight="1" s="39"/>
    <row r="609" ht="15.75" customHeight="1" s="39"/>
    <row r="610" ht="15.75" customHeight="1" s="39"/>
    <row r="611" ht="15.75" customHeight="1" s="39"/>
    <row r="612" ht="15.75" customHeight="1" s="39"/>
    <row r="613" ht="15.75" customHeight="1" s="39"/>
    <row r="614" ht="15.75" customHeight="1" s="39"/>
    <row r="615" ht="15.75" customHeight="1" s="39"/>
    <row r="616" ht="15.75" customHeight="1" s="39"/>
    <row r="617" ht="15.75" customHeight="1" s="39"/>
    <row r="618" ht="15.75" customHeight="1" s="39"/>
    <row r="619" ht="15.75" customHeight="1" s="39"/>
    <row r="620" ht="15.75" customHeight="1" s="39"/>
    <row r="621" ht="15.75" customHeight="1" s="39"/>
    <row r="622" ht="15.75" customHeight="1" s="39"/>
    <row r="623" ht="15.75" customHeight="1" s="39"/>
    <row r="624" ht="15.75" customHeight="1" s="39"/>
    <row r="625" ht="15.75" customHeight="1" s="39"/>
    <row r="626" ht="15.75" customHeight="1" s="39"/>
    <row r="627" ht="15.75" customHeight="1" s="39"/>
    <row r="628" ht="15.75" customHeight="1" s="39"/>
    <row r="629" ht="15.75" customHeight="1" s="39"/>
    <row r="630" ht="15.75" customHeight="1" s="39"/>
    <row r="631" ht="15.75" customHeight="1" s="39"/>
    <row r="632" ht="15.75" customHeight="1" s="39"/>
    <row r="633" ht="15.75" customHeight="1" s="39"/>
    <row r="634" ht="15.75" customHeight="1" s="39"/>
    <row r="635" ht="15.75" customHeight="1" s="39"/>
    <row r="636" ht="15.75" customHeight="1" s="39"/>
    <row r="637" ht="15.75" customHeight="1" s="39"/>
    <row r="638" ht="15.75" customHeight="1" s="39"/>
    <row r="639" ht="15.75" customHeight="1" s="39"/>
    <row r="640" ht="15.75" customHeight="1" s="39"/>
    <row r="641" ht="15.75" customHeight="1" s="39"/>
    <row r="642" ht="15.75" customHeight="1" s="39"/>
    <row r="643" ht="15.75" customHeight="1" s="39"/>
    <row r="644" ht="15.75" customHeight="1" s="39"/>
    <row r="645" ht="15.75" customHeight="1" s="39"/>
    <row r="646" ht="15.75" customHeight="1" s="39"/>
    <row r="647" ht="15.75" customHeight="1" s="39"/>
    <row r="648" ht="15.75" customHeight="1" s="39"/>
    <row r="649" ht="15.75" customHeight="1" s="39"/>
    <row r="650" ht="15.75" customHeight="1" s="39"/>
    <row r="651" ht="15.75" customHeight="1" s="39"/>
    <row r="652" ht="15.75" customHeight="1" s="39"/>
    <row r="653" ht="15.75" customHeight="1" s="39"/>
    <row r="654" ht="15.75" customHeight="1" s="39"/>
    <row r="655" ht="15.75" customHeight="1" s="39"/>
    <row r="656" ht="15.75" customHeight="1" s="39"/>
    <row r="657" ht="15.75" customHeight="1" s="39"/>
    <row r="658" ht="15.75" customHeight="1" s="39"/>
    <row r="659" ht="15.75" customHeight="1" s="39"/>
    <row r="660" ht="15.75" customHeight="1" s="39"/>
    <row r="661" ht="15.75" customHeight="1" s="39"/>
    <row r="662" ht="15.75" customHeight="1" s="39"/>
    <row r="663" ht="15.75" customHeight="1" s="39"/>
    <row r="664" ht="15.75" customHeight="1" s="39"/>
    <row r="665" ht="15.75" customHeight="1" s="39"/>
    <row r="666" ht="15.75" customHeight="1" s="39"/>
    <row r="667" ht="15.75" customHeight="1" s="39"/>
    <row r="668" ht="15.75" customHeight="1" s="39"/>
    <row r="669" ht="15.75" customHeight="1" s="39"/>
    <row r="670" ht="15.75" customHeight="1" s="39"/>
    <row r="671" ht="15.75" customHeight="1" s="39"/>
    <row r="672" ht="15.75" customHeight="1" s="39"/>
    <row r="673" ht="15.75" customHeight="1" s="39"/>
    <row r="674" ht="15.75" customHeight="1" s="39"/>
    <row r="675" ht="15.75" customHeight="1" s="39"/>
    <row r="676" ht="15.75" customHeight="1" s="39"/>
    <row r="677" ht="15.75" customHeight="1" s="39"/>
    <row r="678" ht="15.75" customHeight="1" s="39"/>
    <row r="679" ht="15.75" customHeight="1" s="39"/>
    <row r="680" ht="15.75" customHeight="1" s="39"/>
    <row r="681" ht="15.75" customHeight="1" s="39"/>
    <row r="682" ht="15.75" customHeight="1" s="39"/>
    <row r="683" ht="15.75" customHeight="1" s="39"/>
    <row r="684" ht="15.75" customHeight="1" s="39"/>
    <row r="685" ht="15.75" customHeight="1" s="39"/>
    <row r="686" ht="15.75" customHeight="1" s="39"/>
    <row r="687" ht="15.75" customHeight="1" s="39"/>
    <row r="688" ht="15.75" customHeight="1" s="39"/>
    <row r="689" ht="15.75" customHeight="1" s="39"/>
    <row r="690" ht="15.75" customHeight="1" s="39"/>
    <row r="691" ht="15.75" customHeight="1" s="39"/>
    <row r="692" ht="15.75" customHeight="1" s="39"/>
    <row r="693" ht="15.75" customHeight="1" s="39"/>
    <row r="694" ht="15.75" customHeight="1" s="39"/>
    <row r="695" ht="15.75" customHeight="1" s="39"/>
    <row r="696" ht="15.75" customHeight="1" s="39"/>
    <row r="697" ht="15.75" customHeight="1" s="39"/>
    <row r="698" ht="15.75" customHeight="1" s="39"/>
    <row r="699" ht="15.75" customHeight="1" s="39"/>
    <row r="700" ht="15.75" customHeight="1" s="39"/>
    <row r="701" ht="15.75" customHeight="1" s="39"/>
    <row r="702" ht="15.75" customHeight="1" s="39"/>
    <row r="703" ht="15.75" customHeight="1" s="39"/>
    <row r="704" ht="15.75" customHeight="1" s="39"/>
    <row r="705" ht="15.75" customHeight="1" s="39"/>
    <row r="706" ht="15.75" customHeight="1" s="39"/>
    <row r="707" ht="15.75" customHeight="1" s="39"/>
    <row r="708" ht="15.75" customHeight="1" s="39"/>
    <row r="709" ht="15.75" customHeight="1" s="39"/>
    <row r="710" ht="15.75" customHeight="1" s="39"/>
    <row r="711" ht="15.75" customHeight="1" s="39"/>
    <row r="712" ht="15.75" customHeight="1" s="39"/>
    <row r="713" ht="15.75" customHeight="1" s="39"/>
    <row r="714" ht="15.75" customHeight="1" s="39"/>
    <row r="715" ht="15.75" customHeight="1" s="39"/>
    <row r="716" ht="15.75" customHeight="1" s="39"/>
    <row r="717" ht="15.75" customHeight="1" s="39"/>
    <row r="718" ht="15.75" customHeight="1" s="39"/>
    <row r="719" ht="15.75" customHeight="1" s="39"/>
    <row r="720" ht="15.75" customHeight="1" s="39"/>
    <row r="721" ht="15.75" customHeight="1" s="39"/>
    <row r="722" ht="15.75" customHeight="1" s="39"/>
    <row r="723" ht="15.75" customHeight="1" s="39"/>
    <row r="724" ht="15.75" customHeight="1" s="39"/>
    <row r="725" ht="15.75" customHeight="1" s="39"/>
    <row r="726" ht="15.75" customHeight="1" s="39"/>
    <row r="727" ht="15.75" customHeight="1" s="39"/>
    <row r="728" ht="15.75" customHeight="1" s="39"/>
    <row r="729" ht="15.75" customHeight="1" s="39"/>
    <row r="730" ht="15.75" customHeight="1" s="39"/>
    <row r="731" ht="15.75" customHeight="1" s="39"/>
    <row r="732" ht="15.75" customHeight="1" s="39"/>
    <row r="733" ht="15.75" customHeight="1" s="39"/>
    <row r="734" ht="15.75" customHeight="1" s="39"/>
    <row r="735" ht="15.75" customHeight="1" s="39"/>
    <row r="736" ht="15.75" customHeight="1" s="39"/>
    <row r="737" ht="15.75" customHeight="1" s="39"/>
    <row r="738" ht="15.75" customHeight="1" s="39"/>
    <row r="739" ht="15.75" customHeight="1" s="39"/>
    <row r="740" ht="15.75" customHeight="1" s="39"/>
    <row r="741" ht="15.75" customHeight="1" s="39"/>
    <row r="742" ht="15.75" customHeight="1" s="39"/>
    <row r="743" ht="15.75" customHeight="1" s="39"/>
    <row r="744" ht="15.75" customHeight="1" s="39"/>
    <row r="745" ht="15.75" customHeight="1" s="39"/>
    <row r="746" ht="15.75" customHeight="1" s="39"/>
    <row r="747" ht="15.75" customHeight="1" s="39"/>
    <row r="748" ht="15.75" customHeight="1" s="39"/>
    <row r="749" ht="15.75" customHeight="1" s="39"/>
    <row r="750" ht="15.75" customHeight="1" s="39"/>
    <row r="751" ht="15.75" customHeight="1" s="39"/>
    <row r="752" ht="15.75" customHeight="1" s="39"/>
    <row r="753" ht="15.75" customHeight="1" s="39"/>
    <row r="754" ht="15.75" customHeight="1" s="39"/>
    <row r="755" ht="15.75" customHeight="1" s="39"/>
    <row r="756" ht="15.75" customHeight="1" s="39"/>
    <row r="757" ht="15.75" customHeight="1" s="39"/>
    <row r="758" ht="15.75" customHeight="1" s="39"/>
    <row r="759" ht="15.75" customHeight="1" s="39"/>
    <row r="760" ht="15.75" customHeight="1" s="39"/>
    <row r="761" ht="15.75" customHeight="1" s="39"/>
    <row r="762" ht="15.75" customHeight="1" s="39"/>
    <row r="763" ht="15.75" customHeight="1" s="39"/>
    <row r="764" ht="15.75" customHeight="1" s="39"/>
    <row r="765" ht="15.75" customHeight="1" s="39"/>
    <row r="766" ht="15.75" customHeight="1" s="39"/>
    <row r="767" ht="15.75" customHeight="1" s="39"/>
    <row r="768" ht="15.75" customHeight="1" s="39"/>
    <row r="769" ht="15.75" customHeight="1" s="39"/>
    <row r="770" ht="15.75" customHeight="1" s="39"/>
    <row r="771" ht="15.75" customHeight="1" s="39"/>
    <row r="772" ht="15.75" customHeight="1" s="39"/>
    <row r="773" ht="15.75" customHeight="1" s="39"/>
    <row r="774" ht="15.75" customHeight="1" s="39"/>
    <row r="775" ht="15.75" customHeight="1" s="39"/>
    <row r="776" ht="15.75" customHeight="1" s="39"/>
    <row r="777" ht="15.75" customHeight="1" s="39"/>
    <row r="778" ht="15.75" customHeight="1" s="39"/>
    <row r="779" ht="15.75" customHeight="1" s="39"/>
    <row r="780" ht="15.75" customHeight="1" s="39"/>
    <row r="781" ht="15.75" customHeight="1" s="39"/>
    <row r="782" ht="15.75" customHeight="1" s="39"/>
    <row r="783" ht="15.75" customHeight="1" s="39"/>
    <row r="784" ht="15.75" customHeight="1" s="39"/>
    <row r="785" ht="15.75" customHeight="1" s="39"/>
    <row r="786" ht="15.75" customHeight="1" s="39"/>
    <row r="787" ht="15.75" customHeight="1" s="39"/>
    <row r="788" ht="15.75" customHeight="1" s="39"/>
    <row r="789" ht="15.75" customHeight="1" s="39"/>
    <row r="790" ht="15.75" customHeight="1" s="39"/>
    <row r="791" ht="15.75" customHeight="1" s="39"/>
    <row r="792" ht="15.75" customHeight="1" s="39"/>
    <row r="793" ht="15.75" customHeight="1" s="39"/>
    <row r="794" ht="15.75" customHeight="1" s="39"/>
    <row r="795" ht="15.75" customHeight="1" s="39"/>
    <row r="796" ht="15.75" customHeight="1" s="39"/>
    <row r="797" ht="15.75" customHeight="1" s="39"/>
    <row r="798" ht="15.75" customHeight="1" s="39"/>
    <row r="799" ht="15.75" customHeight="1" s="39"/>
    <row r="800" ht="15.75" customHeight="1" s="39"/>
    <row r="801" ht="15.75" customHeight="1" s="39"/>
    <row r="802" ht="15.75" customHeight="1" s="39"/>
    <row r="803" ht="15.75" customHeight="1" s="39"/>
    <row r="804" ht="15.75" customHeight="1" s="39"/>
    <row r="805" ht="15.75" customHeight="1" s="39"/>
    <row r="806" ht="15.75" customHeight="1" s="39"/>
    <row r="807" ht="15.75" customHeight="1" s="39"/>
    <row r="808" ht="15.75" customHeight="1" s="39"/>
    <row r="809" ht="15.75" customHeight="1" s="39"/>
    <row r="810" ht="15.75" customHeight="1" s="39"/>
    <row r="811" ht="15.75" customHeight="1" s="39"/>
    <row r="812" ht="15.75" customHeight="1" s="39"/>
    <row r="813" ht="15.75" customHeight="1" s="39"/>
    <row r="814" ht="15.75" customHeight="1" s="39"/>
    <row r="815" ht="15.75" customHeight="1" s="39"/>
    <row r="816" ht="15.75" customHeight="1" s="39"/>
    <row r="817" ht="15.75" customHeight="1" s="39"/>
    <row r="818" ht="15.75" customHeight="1" s="39"/>
    <row r="819" ht="15.75" customHeight="1" s="39"/>
    <row r="820" ht="15.75" customHeight="1" s="39"/>
    <row r="821" ht="15.75" customHeight="1" s="39"/>
    <row r="822" ht="15.75" customHeight="1" s="39"/>
    <row r="823" ht="15.75" customHeight="1" s="39"/>
    <row r="824" ht="15.75" customHeight="1" s="39"/>
    <row r="825" ht="15.75" customHeight="1" s="39"/>
    <row r="826" ht="15.75" customHeight="1" s="39"/>
    <row r="827" ht="15.75" customHeight="1" s="39"/>
    <row r="828" ht="15.75" customHeight="1" s="39"/>
    <row r="829" ht="15.75" customHeight="1" s="39"/>
    <row r="830" ht="15.75" customHeight="1" s="39"/>
    <row r="831" ht="15.75" customHeight="1" s="39"/>
    <row r="832" ht="15.75" customHeight="1" s="39"/>
    <row r="833" ht="15.75" customHeight="1" s="39"/>
    <row r="834" ht="15.75" customHeight="1" s="39"/>
    <row r="835" ht="15.75" customHeight="1" s="39"/>
    <row r="836" ht="15.75" customHeight="1" s="39"/>
    <row r="837" ht="15.75" customHeight="1" s="39"/>
    <row r="838" ht="15.75" customHeight="1" s="39"/>
    <row r="839" ht="15.75" customHeight="1" s="39"/>
    <row r="840" ht="15.75" customHeight="1" s="39"/>
    <row r="841" ht="15.75" customHeight="1" s="39"/>
    <row r="842" ht="15.75" customHeight="1" s="39"/>
    <row r="843" ht="15.75" customHeight="1" s="39"/>
    <row r="844" ht="15.75" customHeight="1" s="39"/>
    <row r="845" ht="15.75" customHeight="1" s="39"/>
    <row r="846" ht="15.75" customHeight="1" s="39"/>
    <row r="847" ht="15.75" customHeight="1" s="39"/>
    <row r="848" ht="15.75" customHeight="1" s="39"/>
    <row r="849" ht="15.75" customHeight="1" s="39"/>
    <row r="850" ht="15.75" customHeight="1" s="39"/>
    <row r="851" ht="15.75" customHeight="1" s="39"/>
    <row r="852" ht="15.75" customHeight="1" s="39"/>
    <row r="853" ht="15.75" customHeight="1" s="39"/>
    <row r="854" ht="15.75" customHeight="1" s="39"/>
    <row r="855" ht="15.75" customHeight="1" s="39"/>
    <row r="856" ht="15.75" customHeight="1" s="39"/>
    <row r="857" ht="15.75" customHeight="1" s="39"/>
    <row r="858" ht="15.75" customHeight="1" s="39"/>
    <row r="859" ht="15.75" customHeight="1" s="39"/>
    <row r="860" ht="15.75" customHeight="1" s="39"/>
    <row r="861" ht="15.75" customHeight="1" s="39"/>
    <row r="862" ht="15.75" customHeight="1" s="39"/>
    <row r="863" ht="15.75" customHeight="1" s="39"/>
    <row r="864" ht="15.75" customHeight="1" s="39"/>
    <row r="865" ht="15.75" customHeight="1" s="39"/>
    <row r="866" ht="15.75" customHeight="1" s="39"/>
    <row r="867" ht="15.75" customHeight="1" s="39"/>
    <row r="868" ht="15.75" customHeight="1" s="39"/>
    <row r="869" ht="15.75" customHeight="1" s="39"/>
    <row r="870" ht="15.75" customHeight="1" s="39"/>
    <row r="871" ht="15.75" customHeight="1" s="39"/>
    <row r="872" ht="15.75" customHeight="1" s="39"/>
    <row r="873" ht="15.75" customHeight="1" s="39"/>
    <row r="874" ht="15.75" customHeight="1" s="39"/>
    <row r="875" ht="15.75" customHeight="1" s="39"/>
    <row r="876" ht="15.75" customHeight="1" s="39"/>
    <row r="877" ht="15.75" customHeight="1" s="39"/>
    <row r="878" ht="15.75" customHeight="1" s="39"/>
    <row r="879" ht="15.75" customHeight="1" s="39"/>
    <row r="880" ht="15.75" customHeight="1" s="39"/>
    <row r="881" ht="15.75" customHeight="1" s="39"/>
    <row r="882" ht="15.75" customHeight="1" s="39"/>
    <row r="883" ht="15.75" customHeight="1" s="39"/>
    <row r="884" ht="15.75" customHeight="1" s="39"/>
    <row r="885" ht="15.75" customHeight="1" s="39"/>
    <row r="886" ht="15.75" customHeight="1" s="39"/>
    <row r="887" ht="15.75" customHeight="1" s="39"/>
    <row r="888" ht="15.75" customHeight="1" s="39"/>
    <row r="889" ht="15.75" customHeight="1" s="39"/>
    <row r="890" ht="15.75" customHeight="1" s="39"/>
    <row r="891" ht="15.75" customHeight="1" s="39"/>
    <row r="892" ht="15.75" customHeight="1" s="39"/>
    <row r="893" ht="15.75" customHeight="1" s="39"/>
    <row r="894" ht="15.75" customHeight="1" s="39"/>
    <row r="895" ht="15.75" customHeight="1" s="39"/>
    <row r="896" ht="15.75" customHeight="1" s="39"/>
    <row r="897" ht="15.75" customHeight="1" s="39"/>
    <row r="898" ht="15.75" customHeight="1" s="39"/>
    <row r="899" ht="15.75" customHeight="1" s="39"/>
    <row r="900" ht="15.75" customHeight="1" s="39"/>
    <row r="901" ht="15.75" customHeight="1" s="39"/>
    <row r="902" ht="15.75" customHeight="1" s="39"/>
    <row r="903" ht="15.75" customHeight="1" s="39"/>
    <row r="904" ht="15.75" customHeight="1" s="39"/>
    <row r="905" ht="15.75" customHeight="1" s="39"/>
    <row r="906" ht="15.75" customHeight="1" s="39"/>
    <row r="907" ht="15.75" customHeight="1" s="39"/>
    <row r="908" ht="15.75" customHeight="1" s="39"/>
    <row r="909" ht="15.75" customHeight="1" s="39"/>
    <row r="910" ht="15.75" customHeight="1" s="39"/>
    <row r="911" ht="15.75" customHeight="1" s="39"/>
    <row r="912" ht="15.75" customHeight="1" s="39"/>
    <row r="913" ht="15.75" customHeight="1" s="39"/>
    <row r="914" ht="15.75" customHeight="1" s="39"/>
    <row r="915" ht="15.75" customHeight="1" s="39"/>
    <row r="916" ht="15.75" customHeight="1" s="39"/>
    <row r="917" ht="15.75" customHeight="1" s="39"/>
    <row r="918" ht="15.75" customHeight="1" s="39"/>
    <row r="919" ht="15.75" customHeight="1" s="39"/>
    <row r="920" ht="15.75" customHeight="1" s="39"/>
    <row r="921" ht="15.75" customHeight="1" s="39"/>
    <row r="922" ht="15.75" customHeight="1" s="39"/>
    <row r="923" ht="15.75" customHeight="1" s="39"/>
    <row r="924" ht="15.75" customHeight="1" s="39"/>
    <row r="925" ht="15.75" customHeight="1" s="39"/>
    <row r="926" ht="15.75" customHeight="1" s="39"/>
    <row r="927" ht="15.75" customHeight="1" s="39"/>
    <row r="928" ht="15.75" customHeight="1" s="39"/>
    <row r="929" ht="15.75" customHeight="1" s="39"/>
    <row r="930" ht="15.75" customHeight="1" s="39"/>
    <row r="931" ht="15.75" customHeight="1" s="39"/>
    <row r="932" ht="15.75" customHeight="1" s="39"/>
    <row r="933" ht="15.75" customHeight="1" s="39"/>
    <row r="934" ht="15.75" customHeight="1" s="39"/>
    <row r="935" ht="15.75" customHeight="1" s="39"/>
    <row r="936" ht="15.75" customHeight="1" s="39"/>
    <row r="937" ht="15.75" customHeight="1" s="39"/>
    <row r="938" ht="15.75" customHeight="1" s="39"/>
    <row r="939" ht="15.75" customHeight="1" s="39"/>
    <row r="940" ht="15.75" customHeight="1" s="39"/>
    <row r="941" ht="15.75" customHeight="1" s="39"/>
    <row r="942" ht="15.75" customHeight="1" s="39"/>
    <row r="943" ht="15.75" customHeight="1" s="39"/>
    <row r="944" ht="15.75" customHeight="1" s="39"/>
    <row r="945" ht="15.75" customHeight="1" s="39"/>
    <row r="946" ht="15.75" customHeight="1" s="39"/>
    <row r="947" ht="15.75" customHeight="1" s="39"/>
    <row r="948" ht="15.75" customHeight="1" s="39"/>
    <row r="949" ht="15.75" customHeight="1" s="39"/>
    <row r="950" ht="15.75" customHeight="1" s="39"/>
    <row r="951" ht="15.75" customHeight="1" s="39"/>
    <row r="952" ht="15.75" customHeight="1" s="39"/>
    <row r="953" ht="15.75" customHeight="1" s="39"/>
    <row r="954" ht="15.75" customHeight="1" s="39"/>
    <row r="955" ht="15.75" customHeight="1" s="39"/>
    <row r="956" ht="15.75" customHeight="1" s="39"/>
    <row r="957" ht="15.75" customHeight="1" s="39"/>
    <row r="958" ht="15.75" customHeight="1" s="39"/>
    <row r="959" ht="15.75" customHeight="1" s="39"/>
    <row r="960" ht="15.75" customHeight="1" s="39"/>
    <row r="961" ht="15.75" customHeight="1" s="39"/>
    <row r="962" ht="15.75" customHeight="1" s="39"/>
    <row r="963" ht="15.75" customHeight="1" s="39"/>
    <row r="964" ht="15.75" customHeight="1" s="39"/>
    <row r="965" ht="15.75" customHeight="1" s="39"/>
    <row r="966" ht="15.75" customHeight="1" s="39"/>
    <row r="967" ht="15.75" customHeight="1" s="39"/>
    <row r="968" ht="15.75" customHeight="1" s="39"/>
    <row r="969" ht="15.75" customHeight="1" s="39"/>
    <row r="970" ht="15.75" customHeight="1" s="39"/>
    <row r="971" ht="15.75" customHeight="1" s="39"/>
    <row r="972" ht="15.75" customHeight="1" s="39"/>
    <row r="973" ht="15.75" customHeight="1" s="39"/>
    <row r="974" ht="15.75" customHeight="1" s="39"/>
    <row r="975" ht="15.75" customHeight="1" s="39"/>
    <row r="976" ht="15.75" customHeight="1" s="39"/>
    <row r="977" ht="15.75" customHeight="1" s="39"/>
    <row r="978" ht="15.75" customHeight="1" s="39"/>
    <row r="979" ht="15.75" customHeight="1" s="39"/>
    <row r="980" ht="15.75" customHeight="1" s="39"/>
    <row r="981" ht="15.75" customHeight="1" s="39"/>
    <row r="982" ht="15.75" customHeight="1" s="39"/>
    <row r="983" ht="15.75" customHeight="1" s="39"/>
    <row r="984" ht="15.75" customHeight="1" s="39"/>
    <row r="985" ht="15.75" customHeight="1" s="39"/>
    <row r="986" ht="15.75" customHeight="1" s="39"/>
    <row r="987" ht="15.75" customHeight="1" s="39"/>
    <row r="988" ht="15.75" customHeight="1" s="39"/>
    <row r="989" ht="15.75" customHeight="1" s="39"/>
    <row r="990" ht="15.75" customHeight="1" s="39"/>
    <row r="991" ht="15.75" customHeight="1" s="39"/>
    <row r="992" ht="15.75" customHeight="1" s="39"/>
    <row r="993" ht="15.75" customHeight="1" s="39"/>
    <row r="994" ht="15.75" customHeight="1" s="39"/>
    <row r="995" ht="15.75" customHeight="1" s="39"/>
    <row r="996" ht="15.75" customHeight="1" s="39"/>
    <row r="997" ht="15.75" customHeight="1" s="39"/>
    <row r="998" ht="15.75" customHeight="1" s="39"/>
    <row r="999" ht="15.75" customHeight="1" s="39"/>
  </sheetData>
  <mergeCells count="2">
    <mergeCell ref="A1:O1"/>
    <mergeCell ref="A2:O2"/>
  </mergeCells>
  <conditionalFormatting sqref="B68:M68">
    <cfRule type="cellIs" priority="1" operator="greaterThan" dxfId="0">
      <formula>50</formula>
    </cfRule>
    <cfRule type="cellIs" priority="2" operator="lessThan" dxfId="1">
      <formula>-50</formula>
    </cfRule>
  </conditionalFormatting>
  <conditionalFormatting sqref="B62:N62">
    <cfRule type="cellIs" priority="3" operator="lessThan" dxfId="1">
      <formula>0</formula>
    </cfRule>
    <cfRule type="cellIs" priority="4" operator="greaterThanOrEqual" dxfId="0">
      <formula>0</formula>
    </cfRule>
  </conditionalFormatting>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N21"/>
  <sheetViews>
    <sheetView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4.43" defaultRowHeight="15" customHeight="1"/>
  <cols>
    <col width="42.14" customWidth="1" style="39" min="1" max="1"/>
    <col width="11" customWidth="1" style="39" min="2" max="14"/>
    <col width="8.710000000000001" customWidth="1" style="39" min="15" max="26"/>
  </cols>
  <sheetData>
    <row r="1">
      <c r="A1" s="16" t="inlineStr">
        <is>
          <t>Variable Spending — by category (auto-populated)</t>
        </is>
      </c>
    </row>
    <row r="2">
      <c r="A2" s="4" t="inlineStr">
        <is>
          <t>Auto-regenerated by Apps Script. Edit Rules tab to change categorization rather than typing here directly.</t>
        </is>
      </c>
    </row>
    <row r="4">
      <c r="A4" s="5" t="inlineStr">
        <is>
          <t>Category</t>
        </is>
      </c>
      <c r="B4" s="5" t="inlineStr">
        <is>
          <t>Jan</t>
        </is>
      </c>
      <c r="C4" s="5" t="inlineStr">
        <is>
          <t>Feb</t>
        </is>
      </c>
      <c r="D4" s="5" t="inlineStr">
        <is>
          <t>Mar</t>
        </is>
      </c>
      <c r="E4" s="5" t="inlineStr">
        <is>
          <t>Apr</t>
        </is>
      </c>
      <c r="F4" s="5" t="inlineStr">
        <is>
          <t>May</t>
        </is>
      </c>
      <c r="G4" s="5" t="inlineStr">
        <is>
          <t>Jun</t>
        </is>
      </c>
      <c r="H4" s="5" t="inlineStr">
        <is>
          <t>Jul</t>
        </is>
      </c>
      <c r="I4" s="5" t="inlineStr">
        <is>
          <t>Aug</t>
        </is>
      </c>
      <c r="J4" s="5" t="inlineStr">
        <is>
          <t>Sep</t>
        </is>
      </c>
      <c r="K4" s="5" t="inlineStr">
        <is>
          <t>Oct</t>
        </is>
      </c>
      <c r="L4" s="5" t="inlineStr">
        <is>
          <t>Nov</t>
        </is>
      </c>
      <c r="M4" s="5" t="inlineStr">
        <is>
          <t>Dec</t>
        </is>
      </c>
      <c r="N4" s="5" t="inlineStr">
        <is>
          <t>YTD</t>
        </is>
      </c>
    </row>
    <row r="5">
      <c r="A5" s="10" t="inlineStr">
        <is>
          <t>Groceries</t>
        </is>
      </c>
      <c r="B5" s="15" t="n">
        <v>635.4000000000001</v>
      </c>
      <c r="C5" s="15" t="n">
        <v>940.2900000000001</v>
      </c>
      <c r="D5" s="15" t="n">
        <v>701.4200000000001</v>
      </c>
      <c r="E5" s="15" t="n">
        <v>746.33</v>
      </c>
      <c r="F5" s="15" t="n">
        <v>630.8</v>
      </c>
      <c r="G5" s="15" t="n">
        <v>146.28</v>
      </c>
      <c r="H5" s="15" t="n"/>
      <c r="I5" s="15" t="n"/>
      <c r="J5" s="15" t="n"/>
      <c r="K5" s="15" t="n"/>
      <c r="L5" s="15" t="n"/>
      <c r="M5" s="15" t="n"/>
      <c r="N5" s="15">
        <f>SUM(B5:M5)</f>
        <v/>
      </c>
    </row>
    <row r="6">
      <c r="A6" s="10" t="inlineStr">
        <is>
          <t>Gas / Vehicle</t>
        </is>
      </c>
      <c r="B6" s="15" t="n">
        <v>198.77</v>
      </c>
      <c r="C6" s="15" t="n">
        <v>242.84</v>
      </c>
      <c r="D6" s="15" t="n">
        <v>214.4</v>
      </c>
      <c r="E6" s="15" t="n">
        <v>356.42</v>
      </c>
      <c r="F6" s="15" t="n">
        <v>530.1</v>
      </c>
      <c r="G6" s="15" t="n"/>
      <c r="H6" s="15" t="n"/>
      <c r="I6" s="15" t="n"/>
      <c r="J6" s="15" t="n"/>
      <c r="K6" s="15" t="n"/>
      <c r="L6" s="15" t="n"/>
      <c r="M6" s="15" t="n"/>
      <c r="N6" s="15">
        <f>SUM(B6:M6)</f>
        <v/>
      </c>
    </row>
    <row r="7">
      <c r="A7" s="10" t="inlineStr">
        <is>
          <t>Dining out</t>
        </is>
      </c>
      <c r="B7" s="15" t="n">
        <v>683.6500000000001</v>
      </c>
      <c r="C7" s="15" t="n">
        <v>884.87</v>
      </c>
      <c r="D7" s="15" t="n">
        <v>575</v>
      </c>
      <c r="E7" s="15" t="n">
        <v>1032.83</v>
      </c>
      <c r="F7" s="15" t="n">
        <v>935.71</v>
      </c>
      <c r="G7" s="15" t="n">
        <v>74.96000000000001</v>
      </c>
      <c r="H7" s="15" t="n"/>
      <c r="I7" s="15" t="n"/>
      <c r="J7" s="15" t="n"/>
      <c r="K7" s="15" t="n"/>
      <c r="L7" s="15" t="n"/>
      <c r="M7" s="15" t="n"/>
      <c r="N7" s="15">
        <f>SUM(B7:M7)</f>
        <v/>
      </c>
    </row>
    <row r="8">
      <c r="A8" s="10" t="inlineStr">
        <is>
          <t>Subscriptions</t>
        </is>
      </c>
      <c r="B8" s="15" t="n">
        <v>111.05</v>
      </c>
      <c r="C8" s="15" t="n">
        <v>104.34</v>
      </c>
      <c r="D8" s="15" t="n">
        <v>111.05</v>
      </c>
      <c r="E8" s="15" t="n">
        <v>160.4</v>
      </c>
      <c r="F8" s="15" t="n">
        <v>154.06</v>
      </c>
      <c r="G8" s="15" t="n">
        <v>6.69</v>
      </c>
      <c r="H8" s="15" t="n"/>
      <c r="I8" s="15" t="n"/>
      <c r="J8" s="15" t="n"/>
      <c r="K8" s="15" t="n"/>
      <c r="L8" s="15" t="n"/>
      <c r="M8" s="15" t="n"/>
      <c r="N8" s="15">
        <f>SUM(B8:M8)</f>
        <v/>
      </c>
    </row>
    <row r="9">
      <c r="A9" s="10" t="inlineStr">
        <is>
          <t>Kids / Activities</t>
        </is>
      </c>
      <c r="B9" s="15" t="n">
        <v>240</v>
      </c>
      <c r="C9" s="15" t="n">
        <v>37.61</v>
      </c>
      <c r="D9" s="15" t="n">
        <v>128.26</v>
      </c>
      <c r="E9" s="15" t="n">
        <v>533.78</v>
      </c>
      <c r="F9" s="15" t="n">
        <v>677.24</v>
      </c>
      <c r="G9" s="15" t="n">
        <v>295.65</v>
      </c>
      <c r="H9" s="15" t="n"/>
      <c r="I9" s="15" t="n"/>
      <c r="J9" s="15" t="n"/>
      <c r="K9" s="15" t="n"/>
      <c r="L9" s="15" t="n"/>
      <c r="M9" s="15" t="n"/>
      <c r="N9" s="15">
        <f>SUM(B9:M9)</f>
        <v/>
      </c>
    </row>
    <row r="10">
      <c r="A10" s="10" t="inlineStr">
        <is>
          <t>Travel</t>
        </is>
      </c>
      <c r="B10" s="15" t="n"/>
      <c r="C10" s="15" t="n"/>
      <c r="D10" s="15" t="n">
        <v>30.54</v>
      </c>
      <c r="E10" s="15" t="n">
        <v>917.41</v>
      </c>
      <c r="F10" s="15" t="n">
        <v>104.8</v>
      </c>
      <c r="G10" s="15" t="n"/>
      <c r="H10" s="15" t="n"/>
      <c r="I10" s="15" t="n"/>
      <c r="J10" s="15" t="n"/>
      <c r="K10" s="15" t="n"/>
      <c r="L10" s="15" t="n"/>
      <c r="M10" s="15" t="n"/>
      <c r="N10" s="15">
        <f>SUM(B10:M10)</f>
        <v/>
      </c>
    </row>
    <row r="11">
      <c r="A11" s="10" t="inlineStr">
        <is>
          <t>Personal Care</t>
        </is>
      </c>
      <c r="B11" s="15" t="n">
        <v>53.49999999999999</v>
      </c>
      <c r="C11" s="15" t="n">
        <v>1.439999999999998</v>
      </c>
      <c r="D11" s="15" t="n">
        <v>215.5</v>
      </c>
      <c r="E11" s="15" t="n">
        <v>96.52999999999999</v>
      </c>
      <c r="F11" s="15" t="n">
        <v>335.47</v>
      </c>
      <c r="G11" s="15" t="n">
        <v>100</v>
      </c>
      <c r="H11" s="15" t="n"/>
      <c r="I11" s="15" t="n"/>
      <c r="J11" s="15" t="n"/>
      <c r="K11" s="15" t="n"/>
      <c r="L11" s="15" t="n"/>
      <c r="M11" s="15" t="n"/>
      <c r="N11" s="15">
        <f>SUM(B11:M11)</f>
        <v/>
      </c>
    </row>
    <row r="12">
      <c r="A12" s="10" t="inlineStr">
        <is>
          <t>Pharmacy / Health</t>
        </is>
      </c>
      <c r="B12" s="15" t="n">
        <v>35.54</v>
      </c>
      <c r="C12" s="15" t="n">
        <v>55.34</v>
      </c>
      <c r="D12" s="15" t="n">
        <v>18</v>
      </c>
      <c r="E12" s="15" t="n">
        <v>108.71</v>
      </c>
      <c r="F12" s="15" t="n">
        <v>12.1</v>
      </c>
      <c r="G12" s="15" t="n">
        <v>3.79</v>
      </c>
      <c r="H12" s="15" t="n"/>
      <c r="I12" s="15" t="n"/>
      <c r="J12" s="15" t="n"/>
      <c r="K12" s="15" t="n"/>
      <c r="L12" s="15" t="n"/>
      <c r="M12" s="15" t="n"/>
      <c r="N12" s="15">
        <f>SUM(B12:M12)</f>
        <v/>
      </c>
    </row>
    <row r="13">
      <c r="A13" s="10" t="inlineStr">
        <is>
          <t>Home / Hardware</t>
        </is>
      </c>
      <c r="B13" s="15" t="n">
        <v>47.18000000000001</v>
      </c>
      <c r="C13" s="15" t="n">
        <v>186.05</v>
      </c>
      <c r="D13" s="15" t="n">
        <v>26.75</v>
      </c>
      <c r="E13" s="15" t="n">
        <v>224.72</v>
      </c>
      <c r="F13" s="15" t="n">
        <v>389.01</v>
      </c>
      <c r="G13" s="15" t="n">
        <v>123.82</v>
      </c>
      <c r="H13" s="15" t="n"/>
      <c r="I13" s="15" t="n"/>
      <c r="J13" s="15" t="n"/>
      <c r="K13" s="15" t="n"/>
      <c r="L13" s="15" t="n"/>
      <c r="M13" s="15" t="n"/>
      <c r="N13" s="15">
        <f>SUM(B13:M13)</f>
        <v/>
      </c>
    </row>
    <row r="14">
      <c r="A14" s="10" t="inlineStr">
        <is>
          <t>Amazon (misc)</t>
        </is>
      </c>
      <c r="B14" s="15" t="n">
        <v>856.77</v>
      </c>
      <c r="C14" s="15" t="n">
        <v>267.06</v>
      </c>
      <c r="D14" s="15" t="n">
        <v>417.23</v>
      </c>
      <c r="E14" s="15" t="n">
        <v>482.16</v>
      </c>
      <c r="F14" s="15" t="n">
        <v>688.51</v>
      </c>
      <c r="G14" s="15" t="n">
        <v>157.93</v>
      </c>
      <c r="H14" s="15" t="n"/>
      <c r="I14" s="15" t="n"/>
      <c r="J14" s="15" t="n"/>
      <c r="K14" s="15" t="n"/>
      <c r="L14" s="15" t="n"/>
      <c r="M14" s="15" t="n"/>
      <c r="N14" s="15">
        <f>SUM(B14:M14)</f>
        <v/>
      </c>
    </row>
    <row r="15">
      <c r="A15" s="10" t="inlineStr">
        <is>
          <t>Landscaping</t>
        </is>
      </c>
      <c r="B15" s="15" t="n"/>
      <c r="C15" s="15" t="n"/>
      <c r="D15" s="15" t="n"/>
      <c r="E15" s="15" t="n">
        <v>490</v>
      </c>
      <c r="F15" s="15" t="n">
        <v>75</v>
      </c>
      <c r="G15" s="15" t="n">
        <v>65</v>
      </c>
      <c r="H15" s="15" t="n"/>
      <c r="I15" s="15" t="n"/>
      <c r="J15" s="15" t="n"/>
      <c r="K15" s="15" t="n"/>
      <c r="L15" s="15" t="n"/>
      <c r="M15" s="15" t="n"/>
      <c r="N15" s="15">
        <f>SUM(B15:M15)</f>
        <v/>
      </c>
    </row>
    <row r="16">
      <c r="A16" s="10" t="inlineStr">
        <is>
          <t>Cash / allowances</t>
        </is>
      </c>
      <c r="B16" s="15" t="n"/>
      <c r="C16" s="15" t="n"/>
      <c r="D16" s="15" t="n"/>
      <c r="E16" s="15" t="n"/>
      <c r="F16" s="15" t="n">
        <v>600</v>
      </c>
      <c r="G16" s="15" t="n"/>
      <c r="H16" s="15" t="n"/>
      <c r="I16" s="15" t="n"/>
      <c r="J16" s="15" t="n"/>
      <c r="K16" s="15" t="n"/>
      <c r="L16" s="15" t="n"/>
      <c r="M16" s="15" t="n"/>
      <c r="N16" s="15">
        <f>SUM(B16:M16)</f>
        <v/>
      </c>
    </row>
    <row r="17">
      <c r="A17" s="10" t="inlineStr">
        <is>
          <t>Other / misc</t>
        </is>
      </c>
      <c r="B17" s="15" t="n">
        <v>2349.16</v>
      </c>
      <c r="C17" s="15" t="n">
        <v>450.9400000000001</v>
      </c>
      <c r="D17" s="15" t="n">
        <v>24367.44</v>
      </c>
      <c r="E17" s="15" t="n">
        <v>1769.75</v>
      </c>
      <c r="F17" s="15" t="n">
        <v>3985.28</v>
      </c>
      <c r="G17" s="15" t="n">
        <v>-2.219999999999999</v>
      </c>
      <c r="H17" s="15" t="n"/>
      <c r="I17" s="15" t="n"/>
      <c r="J17" s="15" t="n"/>
      <c r="K17" s="15" t="n"/>
      <c r="L17" s="15" t="n"/>
      <c r="M17" s="15" t="n"/>
      <c r="N17" s="15">
        <f>SUM(B17:M17)</f>
        <v/>
      </c>
    </row>
    <row r="18">
      <c r="A18" s="11" t="inlineStr">
        <is>
          <t>Total variable spending</t>
        </is>
      </c>
      <c r="B18" s="13">
        <f>SUM(B5:B17)</f>
        <v/>
      </c>
      <c r="C18" s="13">
        <f>SUM(C5:C17)</f>
        <v/>
      </c>
      <c r="D18" s="13">
        <f>SUM(D5:D17)</f>
        <v/>
      </c>
      <c r="E18" s="13">
        <f>SUM(E5:E17)</f>
        <v/>
      </c>
      <c r="F18" s="13">
        <f>SUM(F5:F17)</f>
        <v/>
      </c>
      <c r="G18" s="13">
        <f>SUM(G5:G17)</f>
        <v/>
      </c>
      <c r="H18" s="13">
        <f>SUM(H5:H17)</f>
        <v/>
      </c>
      <c r="I18" s="13">
        <f>SUM(I5:I17)</f>
        <v/>
      </c>
      <c r="J18" s="13">
        <f>SUM(J5:J17)</f>
        <v/>
      </c>
      <c r="K18" s="13">
        <f>SUM(K5:K17)</f>
        <v/>
      </c>
      <c r="L18" s="13">
        <f>SUM(L5:L17)</f>
        <v/>
      </c>
      <c r="M18" s="13">
        <f>SUM(M5:M17)</f>
        <v/>
      </c>
      <c r="N18" s="13">
        <f>SUM(N5:N17)</f>
        <v/>
      </c>
    </row>
    <row r="20">
      <c r="A20" s="10" t="inlineStr">
        <is>
          <t>Barclaycard statement total (manual — sanity)</t>
        </is>
      </c>
      <c r="B20" s="8" t="n">
        <v>5863</v>
      </c>
      <c r="C20" s="8" t="n">
        <v>5466</v>
      </c>
      <c r="D20" s="8" t="n">
        <v>3914</v>
      </c>
      <c r="E20" s="8" t="n">
        <v>8658</v>
      </c>
      <c r="F20" s="8" t="n">
        <v>4911</v>
      </c>
      <c r="G20" s="8" t="n"/>
      <c r="H20" s="8" t="n"/>
      <c r="I20" s="8" t="n"/>
      <c r="J20" s="8" t="n"/>
      <c r="K20" s="8" t="n"/>
      <c r="L20" s="8" t="n"/>
      <c r="M20" s="8" t="n"/>
      <c r="N20" s="15">
        <f>SUM(B20:M20)</f>
        <v/>
      </c>
    </row>
    <row r="21" ht="15.75" customHeight="1" s="39">
      <c r="A21" s="10" t="inlineStr">
        <is>
          <t>(Categorized − Statement) — should be ~0</t>
        </is>
      </c>
      <c r="B21" s="15">
        <f>B18-B20</f>
        <v/>
      </c>
      <c r="C21" s="15">
        <f>C18-C20</f>
        <v/>
      </c>
      <c r="D21" s="15">
        <f>D18-D20</f>
        <v/>
      </c>
      <c r="E21" s="15">
        <f>E18-E20</f>
        <v/>
      </c>
      <c r="F21" s="15">
        <f>F18-F20</f>
        <v/>
      </c>
      <c r="G21" s="15">
        <f>G18-G20</f>
        <v/>
      </c>
      <c r="H21" s="15">
        <f>H18-H20</f>
        <v/>
      </c>
      <c r="I21" s="15">
        <f>I18-I20</f>
        <v/>
      </c>
      <c r="J21" s="15">
        <f>J18-J20</f>
        <v/>
      </c>
      <c r="K21" s="15">
        <f>K18-K20</f>
        <v/>
      </c>
      <c r="L21" s="15">
        <f>L18-L20</f>
        <v/>
      </c>
      <c r="M21" s="15">
        <f>M18-M20</f>
        <v/>
      </c>
      <c r="N21" s="15">
        <f>N18-N20</f>
        <v/>
      </c>
    </row>
    <row r="22" ht="15.75" customHeight="1" s="39"/>
    <row r="23" ht="15.75" customHeight="1" s="39"/>
    <row r="24" ht="15.75" customHeight="1" s="39"/>
    <row r="25" ht="15.75" customHeight="1" s="39"/>
    <row r="26" ht="15.75" customHeight="1" s="39"/>
    <row r="27" ht="15.75" customHeight="1" s="39"/>
    <row r="28" ht="15.75" customHeight="1" s="39"/>
    <row r="29" ht="15.75" customHeight="1" s="39"/>
    <row r="30" ht="15.75" customHeight="1" s="39"/>
    <row r="31" ht="15.75" customHeight="1" s="39"/>
    <row r="32" ht="15.75" customHeight="1" s="39"/>
    <row r="33" ht="15.75" customHeight="1" s="39"/>
    <row r="34" ht="15.75" customHeight="1" s="39"/>
    <row r="35" ht="15.75" customHeight="1" s="39"/>
    <row r="36" ht="15.75" customHeight="1" s="39"/>
    <row r="37" ht="15.75" customHeight="1" s="39"/>
    <row r="38" ht="15.75" customHeight="1" s="39"/>
    <row r="39" ht="15.75" customHeight="1" s="39"/>
    <row r="40" ht="15.75" customHeight="1" s="39"/>
    <row r="41" ht="15.75" customHeight="1" s="39"/>
    <row r="42" ht="15.75" customHeight="1" s="39"/>
    <row r="43" ht="15.75" customHeight="1" s="39"/>
    <row r="44" ht="15.75" customHeight="1" s="39"/>
    <row r="45" ht="15.75" customHeight="1" s="39"/>
    <row r="46" ht="15.75" customHeight="1" s="39"/>
    <row r="47" ht="15.75" customHeight="1" s="39"/>
    <row r="48" ht="15.75" customHeight="1" s="39"/>
    <row r="49" ht="15.75" customHeight="1" s="39"/>
    <row r="50" ht="15.75" customHeight="1" s="39"/>
    <row r="51" ht="15.75" customHeight="1" s="39"/>
    <row r="52" ht="15.75" customHeight="1" s="39"/>
    <row r="53" ht="15.75" customHeight="1" s="39"/>
    <row r="54" ht="15.75" customHeight="1" s="39"/>
    <row r="55" ht="15.75" customHeight="1" s="39"/>
    <row r="56" ht="15.75" customHeight="1" s="39"/>
    <row r="57" ht="15.75" customHeight="1" s="39"/>
    <row r="58" ht="15.75" customHeight="1" s="39"/>
    <row r="59" ht="15.75" customHeight="1" s="39"/>
    <row r="60" ht="15.75" customHeight="1" s="39"/>
    <row r="61" ht="15.75" customHeight="1" s="39"/>
    <row r="62" ht="15.75" customHeight="1" s="39"/>
    <row r="63" ht="15.75" customHeight="1" s="39"/>
    <row r="64" ht="15.75" customHeight="1" s="39"/>
    <row r="65" ht="15.75" customHeight="1" s="39"/>
    <row r="66" ht="15.75" customHeight="1" s="39"/>
    <row r="67" ht="15.75" customHeight="1" s="39"/>
    <row r="68" ht="15.75" customHeight="1" s="39"/>
    <row r="69" ht="15.75" customHeight="1" s="39"/>
    <row r="70" ht="15.75" customHeight="1" s="39"/>
    <row r="71" ht="15.75" customHeight="1" s="39"/>
    <row r="72" ht="15.75" customHeight="1" s="39"/>
    <row r="73" ht="15.75" customHeight="1" s="39"/>
    <row r="74" ht="15.75" customHeight="1" s="39"/>
    <row r="75" ht="15.75" customHeight="1" s="39"/>
    <row r="76" ht="15.75" customHeight="1" s="39"/>
    <row r="77" ht="15.75" customHeight="1" s="39"/>
    <row r="78" ht="15.75" customHeight="1" s="39"/>
    <row r="79" ht="15.75" customHeight="1" s="39"/>
    <row r="80" ht="15.75" customHeight="1" s="39"/>
    <row r="81" ht="15.75" customHeight="1" s="39"/>
    <row r="82" ht="15.75" customHeight="1" s="39"/>
    <row r="83" ht="15.75" customHeight="1" s="39"/>
    <row r="84" ht="15.75" customHeight="1" s="39"/>
    <row r="85" ht="15.75" customHeight="1" s="39"/>
    <row r="86" ht="15.75" customHeight="1" s="39"/>
    <row r="87" ht="15.75" customHeight="1" s="39"/>
    <row r="88" ht="15.75" customHeight="1" s="39"/>
    <row r="89" ht="15.75" customHeight="1" s="39"/>
    <row r="90" ht="15.75" customHeight="1" s="39"/>
    <row r="91" ht="15.75" customHeight="1" s="39"/>
    <row r="92" ht="15.75" customHeight="1" s="39"/>
    <row r="93" ht="15.75" customHeight="1" s="39"/>
    <row r="94" ht="15.75" customHeight="1" s="39"/>
    <row r="95" ht="15.75" customHeight="1" s="39"/>
    <row r="96" ht="15.75" customHeight="1" s="39"/>
    <row r="97" ht="15.75" customHeight="1" s="39"/>
    <row r="98" ht="15.75" customHeight="1" s="39"/>
    <row r="99" ht="15.75" customHeight="1" s="39"/>
    <row r="100" ht="15.75" customHeight="1" s="39"/>
    <row r="101" ht="15.75" customHeight="1" s="39"/>
    <row r="102" ht="15.75" customHeight="1" s="39"/>
    <row r="103" ht="15.75" customHeight="1" s="39"/>
    <row r="104" ht="15.75" customHeight="1" s="39"/>
    <row r="105" ht="15.75" customHeight="1" s="39"/>
    <row r="106" ht="15.75" customHeight="1" s="39"/>
    <row r="107" ht="15.75" customHeight="1" s="39"/>
    <row r="108" ht="15.75" customHeight="1" s="39"/>
    <row r="109" ht="15.75" customHeight="1" s="39"/>
    <row r="110" ht="15.75" customHeight="1" s="39"/>
    <row r="111" ht="15.75" customHeight="1" s="39"/>
    <row r="112" ht="15.75" customHeight="1" s="39"/>
    <row r="113" ht="15.75" customHeight="1" s="39"/>
    <row r="114" ht="15.75" customHeight="1" s="39"/>
    <row r="115" ht="15.75" customHeight="1" s="39"/>
    <row r="116" ht="15.75" customHeight="1" s="39"/>
    <row r="117" ht="15.75" customHeight="1" s="39"/>
    <row r="118" ht="15.75" customHeight="1" s="39"/>
    <row r="119" ht="15.75" customHeight="1" s="39"/>
    <row r="120" ht="15.75" customHeight="1" s="39"/>
    <row r="121" ht="15.75" customHeight="1" s="39"/>
    <row r="122" ht="15.75" customHeight="1" s="39"/>
    <row r="123" ht="15.75" customHeight="1" s="39"/>
    <row r="124" ht="15.75" customHeight="1" s="39"/>
    <row r="125" ht="15.75" customHeight="1" s="39"/>
    <row r="126" ht="15.75" customHeight="1" s="39"/>
    <row r="127" ht="15.75" customHeight="1" s="39"/>
    <row r="128" ht="15.75" customHeight="1" s="39"/>
    <row r="129" ht="15.75" customHeight="1" s="39"/>
    <row r="130" ht="15.75" customHeight="1" s="39"/>
    <row r="131" ht="15.75" customHeight="1" s="39"/>
    <row r="132" ht="15.75" customHeight="1" s="39"/>
    <row r="133" ht="15.75" customHeight="1" s="39"/>
    <row r="134" ht="15.75" customHeight="1" s="39"/>
    <row r="135" ht="15.75" customHeight="1" s="39"/>
    <row r="136" ht="15.75" customHeight="1" s="39"/>
    <row r="137" ht="15.75" customHeight="1" s="39"/>
    <row r="138" ht="15.75" customHeight="1" s="39"/>
    <row r="139" ht="15.75" customHeight="1" s="39"/>
    <row r="140" ht="15.75" customHeight="1" s="39"/>
    <row r="141" ht="15.75" customHeight="1" s="39"/>
    <row r="142" ht="15.75" customHeight="1" s="39"/>
    <row r="143" ht="15.75" customHeight="1" s="39"/>
    <row r="144" ht="15.75" customHeight="1" s="39"/>
    <row r="145" ht="15.75" customHeight="1" s="39"/>
    <row r="146" ht="15.75" customHeight="1" s="39"/>
    <row r="147" ht="15.75" customHeight="1" s="39"/>
    <row r="148" ht="15.75" customHeight="1" s="39"/>
    <row r="149" ht="15.75" customHeight="1" s="39"/>
    <row r="150" ht="15.75" customHeight="1" s="39"/>
    <row r="151" ht="15.75" customHeight="1" s="39"/>
    <row r="152" ht="15.75" customHeight="1" s="39"/>
    <row r="153" ht="15.75" customHeight="1" s="39"/>
    <row r="154" ht="15.75" customHeight="1" s="39"/>
    <row r="155" ht="15.75" customHeight="1" s="39"/>
    <row r="156" ht="15.75" customHeight="1" s="39"/>
    <row r="157" ht="15.75" customHeight="1" s="39"/>
    <row r="158" ht="15.75" customHeight="1" s="39"/>
    <row r="159" ht="15.75" customHeight="1" s="39"/>
    <row r="160" ht="15.75" customHeight="1" s="39"/>
    <row r="161" ht="15.75" customHeight="1" s="39"/>
    <row r="162" ht="15.75" customHeight="1" s="39"/>
    <row r="163" ht="15.75" customHeight="1" s="39"/>
    <row r="164" ht="15.75" customHeight="1" s="39"/>
    <row r="165" ht="15.75" customHeight="1" s="39"/>
    <row r="166" ht="15.75" customHeight="1" s="39"/>
    <row r="167" ht="15.75" customHeight="1" s="39"/>
    <row r="168" ht="15.75" customHeight="1" s="39"/>
    <row r="169" ht="15.75" customHeight="1" s="39"/>
    <row r="170" ht="15.75" customHeight="1" s="39"/>
    <row r="171" ht="15.75" customHeight="1" s="39"/>
    <row r="172" ht="15.75" customHeight="1" s="39"/>
    <row r="173" ht="15.75" customHeight="1" s="39"/>
    <row r="174" ht="15.75" customHeight="1" s="39"/>
    <row r="175" ht="15.75" customHeight="1" s="39"/>
    <row r="176" ht="15.75" customHeight="1" s="39"/>
    <row r="177" ht="15.75" customHeight="1" s="39"/>
    <row r="178" ht="15.75" customHeight="1" s="39"/>
    <row r="179" ht="15.75" customHeight="1" s="39"/>
    <row r="180" ht="15.75" customHeight="1" s="39"/>
    <row r="181" ht="15.75" customHeight="1" s="39"/>
    <row r="182" ht="15.75" customHeight="1" s="39"/>
    <row r="183" ht="15.75" customHeight="1" s="39"/>
    <row r="184" ht="15.75" customHeight="1" s="39"/>
    <row r="185" ht="15.75" customHeight="1" s="39"/>
    <row r="186" ht="15.75" customHeight="1" s="39"/>
    <row r="187" ht="15.75" customHeight="1" s="39"/>
    <row r="188" ht="15.75" customHeight="1" s="39"/>
    <row r="189" ht="15.75" customHeight="1" s="39"/>
    <row r="190" ht="15.75" customHeight="1" s="39"/>
    <row r="191" ht="15.75" customHeight="1" s="39"/>
    <row r="192" ht="15.75" customHeight="1" s="39"/>
    <row r="193" ht="15.75" customHeight="1" s="39"/>
    <row r="194" ht="15.75" customHeight="1" s="39"/>
    <row r="195" ht="15.75" customHeight="1" s="39"/>
    <row r="196" ht="15.75" customHeight="1" s="39"/>
    <row r="197" ht="15.75" customHeight="1" s="39"/>
    <row r="198" ht="15.75" customHeight="1" s="39"/>
    <row r="199" ht="15.75" customHeight="1" s="39"/>
    <row r="200" ht="15.75" customHeight="1" s="39"/>
    <row r="201" ht="15.75" customHeight="1" s="39"/>
    <row r="202" ht="15.75" customHeight="1" s="39"/>
    <row r="203" ht="15.75" customHeight="1" s="39"/>
    <row r="204" ht="15.75" customHeight="1" s="39"/>
    <row r="205" ht="15.75" customHeight="1" s="39"/>
    <row r="206" ht="15.75" customHeight="1" s="39"/>
    <row r="207" ht="15.75" customHeight="1" s="39"/>
    <row r="208" ht="15.75" customHeight="1" s="39"/>
    <row r="209" ht="15.75" customHeight="1" s="39"/>
    <row r="210" ht="15.75" customHeight="1" s="39"/>
    <row r="211" ht="15.75" customHeight="1" s="39"/>
    <row r="212" ht="15.75" customHeight="1" s="39"/>
    <row r="213" ht="15.75" customHeight="1" s="39"/>
    <row r="214" ht="15.75" customHeight="1" s="39"/>
    <row r="215" ht="15.75" customHeight="1" s="39"/>
    <row r="216" ht="15.75" customHeight="1" s="39"/>
    <row r="217" ht="15.75" customHeight="1" s="39"/>
    <row r="218" ht="15.75" customHeight="1" s="39"/>
    <row r="219" ht="15.75" customHeight="1" s="39"/>
    <row r="220" ht="15.75" customHeight="1" s="39"/>
    <row r="221" ht="15.75" customHeight="1" s="39"/>
    <row r="222" ht="15.75" customHeight="1" s="39"/>
    <row r="223" ht="15.75" customHeight="1" s="39"/>
    <row r="224" ht="15.75" customHeight="1" s="39"/>
    <row r="225" ht="15.75" customHeight="1" s="39"/>
    <row r="226" ht="15.75" customHeight="1" s="39"/>
    <row r="227" ht="15.75" customHeight="1" s="39"/>
    <row r="228" ht="15.75" customHeight="1" s="39"/>
    <row r="229" ht="15.75" customHeight="1" s="39"/>
    <row r="230" ht="15.75" customHeight="1" s="39"/>
    <row r="231" ht="15.75" customHeight="1" s="39"/>
    <row r="232" ht="15.75" customHeight="1" s="39"/>
    <row r="233" ht="15.75" customHeight="1" s="39"/>
    <row r="234" ht="15.75" customHeight="1" s="39"/>
    <row r="235" ht="15.75" customHeight="1" s="39"/>
    <row r="236" ht="15.75" customHeight="1" s="39"/>
    <row r="237" ht="15.75" customHeight="1" s="39"/>
    <row r="238" ht="15.75" customHeight="1" s="39"/>
    <row r="239" ht="15.75" customHeight="1" s="39"/>
    <row r="240" ht="15.75" customHeight="1" s="39"/>
    <row r="241" ht="15.75" customHeight="1" s="39"/>
    <row r="242" ht="15.75" customHeight="1" s="39"/>
    <row r="243" ht="15.75" customHeight="1" s="39"/>
    <row r="244" ht="15.75" customHeight="1" s="39"/>
    <row r="245" ht="15.75" customHeight="1" s="39"/>
    <row r="246" ht="15.75" customHeight="1" s="39"/>
    <row r="247" ht="15.75" customHeight="1" s="39"/>
    <row r="248" ht="15.75" customHeight="1" s="39"/>
    <row r="249" ht="15.75" customHeight="1" s="39"/>
    <row r="250" ht="15.75" customHeight="1" s="39"/>
    <row r="251" ht="15.75" customHeight="1" s="39"/>
    <row r="252" ht="15.75" customHeight="1" s="39"/>
    <row r="253" ht="15.75" customHeight="1" s="39"/>
    <row r="254" ht="15.75" customHeight="1" s="39"/>
    <row r="255" ht="15.75" customHeight="1" s="39"/>
    <row r="256" ht="15.75" customHeight="1" s="39"/>
    <row r="257" ht="15.75" customHeight="1" s="39"/>
    <row r="258" ht="15.75" customHeight="1" s="39"/>
    <row r="259" ht="15.75" customHeight="1" s="39"/>
    <row r="260" ht="15.75" customHeight="1" s="39"/>
    <row r="261" ht="15.75" customHeight="1" s="39"/>
    <row r="262" ht="15.75" customHeight="1" s="39"/>
    <row r="263" ht="15.75" customHeight="1" s="39"/>
    <row r="264" ht="15.75" customHeight="1" s="39"/>
    <row r="265" ht="15.75" customHeight="1" s="39"/>
    <row r="266" ht="15.75" customHeight="1" s="39"/>
    <row r="267" ht="15.75" customHeight="1" s="39"/>
    <row r="268" ht="15.75" customHeight="1" s="39"/>
    <row r="269" ht="15.75" customHeight="1" s="39"/>
    <row r="270" ht="15.75" customHeight="1" s="39"/>
    <row r="271" ht="15.75" customHeight="1" s="39"/>
    <row r="272" ht="15.75" customHeight="1" s="39"/>
    <row r="273" ht="15.75" customHeight="1" s="39"/>
    <row r="274" ht="15.75" customHeight="1" s="39"/>
    <row r="275" ht="15.75" customHeight="1" s="39"/>
    <row r="276" ht="15.75" customHeight="1" s="39"/>
    <row r="277" ht="15.75" customHeight="1" s="39"/>
    <row r="278" ht="15.75" customHeight="1" s="39"/>
    <row r="279" ht="15.75" customHeight="1" s="39"/>
    <row r="280" ht="15.75" customHeight="1" s="39"/>
    <row r="281" ht="15.75" customHeight="1" s="39"/>
    <row r="282" ht="15.75" customHeight="1" s="39"/>
    <row r="283" ht="15.75" customHeight="1" s="39"/>
    <row r="284" ht="15.75" customHeight="1" s="39"/>
    <row r="285" ht="15.75" customHeight="1" s="39"/>
    <row r="286" ht="15.75" customHeight="1" s="39"/>
    <row r="287" ht="15.75" customHeight="1" s="39"/>
    <row r="288" ht="15.75" customHeight="1" s="39"/>
    <row r="289" ht="15.75" customHeight="1" s="39"/>
    <row r="290" ht="15.75" customHeight="1" s="39"/>
    <row r="291" ht="15.75" customHeight="1" s="39"/>
    <row r="292" ht="15.75" customHeight="1" s="39"/>
    <row r="293" ht="15.75" customHeight="1" s="39"/>
    <row r="294" ht="15.75" customHeight="1" s="39"/>
    <row r="295" ht="15.75" customHeight="1" s="39"/>
    <row r="296" ht="15.75" customHeight="1" s="39"/>
    <row r="297" ht="15.75" customHeight="1" s="39"/>
    <row r="298" ht="15.75" customHeight="1" s="39"/>
    <row r="299" ht="15.75" customHeight="1" s="39"/>
    <row r="300" ht="15.75" customHeight="1" s="39"/>
    <row r="301" ht="15.75" customHeight="1" s="39"/>
    <row r="302" ht="15.75" customHeight="1" s="39"/>
    <row r="303" ht="15.75" customHeight="1" s="39"/>
    <row r="304" ht="15.75" customHeight="1" s="39"/>
    <row r="305" ht="15.75" customHeight="1" s="39"/>
    <row r="306" ht="15.75" customHeight="1" s="39"/>
    <row r="307" ht="15.75" customHeight="1" s="39"/>
    <row r="308" ht="15.75" customHeight="1" s="39"/>
    <row r="309" ht="15.75" customHeight="1" s="39"/>
    <row r="310" ht="15.75" customHeight="1" s="39"/>
    <row r="311" ht="15.75" customHeight="1" s="39"/>
    <row r="312" ht="15.75" customHeight="1" s="39"/>
    <row r="313" ht="15.75" customHeight="1" s="39"/>
    <row r="314" ht="15.75" customHeight="1" s="39"/>
    <row r="315" ht="15.75" customHeight="1" s="39"/>
    <row r="316" ht="15.75" customHeight="1" s="39"/>
    <row r="317" ht="15.75" customHeight="1" s="39"/>
    <row r="318" ht="15.75" customHeight="1" s="39"/>
    <row r="319" ht="15.75" customHeight="1" s="39"/>
    <row r="320" ht="15.75" customHeight="1" s="39"/>
    <row r="321" ht="15.75" customHeight="1" s="39"/>
    <row r="322" ht="15.75" customHeight="1" s="39"/>
    <row r="323" ht="15.75" customHeight="1" s="39"/>
    <row r="324" ht="15.75" customHeight="1" s="39"/>
    <row r="325" ht="15.75" customHeight="1" s="39"/>
    <row r="326" ht="15.75" customHeight="1" s="39"/>
    <row r="327" ht="15.75" customHeight="1" s="39"/>
    <row r="328" ht="15.75" customHeight="1" s="39"/>
    <row r="329" ht="15.75" customHeight="1" s="39"/>
    <row r="330" ht="15.75" customHeight="1" s="39"/>
    <row r="331" ht="15.75" customHeight="1" s="39"/>
    <row r="332" ht="15.75" customHeight="1" s="39"/>
    <row r="333" ht="15.75" customHeight="1" s="39"/>
    <row r="334" ht="15.75" customHeight="1" s="39"/>
    <row r="335" ht="15.75" customHeight="1" s="39"/>
    <row r="336" ht="15.75" customHeight="1" s="39"/>
    <row r="337" ht="15.75" customHeight="1" s="39"/>
    <row r="338" ht="15.75" customHeight="1" s="39"/>
    <row r="339" ht="15.75" customHeight="1" s="39"/>
    <row r="340" ht="15.75" customHeight="1" s="39"/>
    <row r="341" ht="15.75" customHeight="1" s="39"/>
    <row r="342" ht="15.75" customHeight="1" s="39"/>
    <row r="343" ht="15.75" customHeight="1" s="39"/>
    <row r="344" ht="15.75" customHeight="1" s="39"/>
    <row r="345" ht="15.75" customHeight="1" s="39"/>
    <row r="346" ht="15.75" customHeight="1" s="39"/>
    <row r="347" ht="15.75" customHeight="1" s="39"/>
    <row r="348" ht="15.75" customHeight="1" s="39"/>
    <row r="349" ht="15.75" customHeight="1" s="39"/>
    <row r="350" ht="15.75" customHeight="1" s="39"/>
    <row r="351" ht="15.75" customHeight="1" s="39"/>
    <row r="352" ht="15.75" customHeight="1" s="39"/>
    <row r="353" ht="15.75" customHeight="1" s="39"/>
    <row r="354" ht="15.75" customHeight="1" s="39"/>
    <row r="355" ht="15.75" customHeight="1" s="39"/>
    <row r="356" ht="15.75" customHeight="1" s="39"/>
    <row r="357" ht="15.75" customHeight="1" s="39"/>
    <row r="358" ht="15.75" customHeight="1" s="39"/>
    <row r="359" ht="15.75" customHeight="1" s="39"/>
    <row r="360" ht="15.75" customHeight="1" s="39"/>
    <row r="361" ht="15.75" customHeight="1" s="39"/>
    <row r="362" ht="15.75" customHeight="1" s="39"/>
    <row r="363" ht="15.75" customHeight="1" s="39"/>
    <row r="364" ht="15.75" customHeight="1" s="39"/>
    <row r="365" ht="15.75" customHeight="1" s="39"/>
    <row r="366" ht="15.75" customHeight="1" s="39"/>
    <row r="367" ht="15.75" customHeight="1" s="39"/>
    <row r="368" ht="15.75" customHeight="1" s="39"/>
    <row r="369" ht="15.75" customHeight="1" s="39"/>
    <row r="370" ht="15.75" customHeight="1" s="39"/>
    <row r="371" ht="15.75" customHeight="1" s="39"/>
    <row r="372" ht="15.75" customHeight="1" s="39"/>
    <row r="373" ht="15.75" customHeight="1" s="39"/>
    <row r="374" ht="15.75" customHeight="1" s="39"/>
    <row r="375" ht="15.75" customHeight="1" s="39"/>
    <row r="376" ht="15.75" customHeight="1" s="39"/>
    <row r="377" ht="15.75" customHeight="1" s="39"/>
    <row r="378" ht="15.75" customHeight="1" s="39"/>
    <row r="379" ht="15.75" customHeight="1" s="39"/>
    <row r="380" ht="15.75" customHeight="1" s="39"/>
    <row r="381" ht="15.75" customHeight="1" s="39"/>
    <row r="382" ht="15.75" customHeight="1" s="39"/>
    <row r="383" ht="15.75" customHeight="1" s="39"/>
    <row r="384" ht="15.75" customHeight="1" s="39"/>
    <row r="385" ht="15.75" customHeight="1" s="39"/>
    <row r="386" ht="15.75" customHeight="1" s="39"/>
    <row r="387" ht="15.75" customHeight="1" s="39"/>
    <row r="388" ht="15.75" customHeight="1" s="39"/>
    <row r="389" ht="15.75" customHeight="1" s="39"/>
    <row r="390" ht="15.75" customHeight="1" s="39"/>
    <row r="391" ht="15.75" customHeight="1" s="39"/>
    <row r="392" ht="15.75" customHeight="1" s="39"/>
    <row r="393" ht="15.75" customHeight="1" s="39"/>
    <row r="394" ht="15.75" customHeight="1" s="39"/>
    <row r="395" ht="15.75" customHeight="1" s="39"/>
    <row r="396" ht="15.75" customHeight="1" s="39"/>
    <row r="397" ht="15.75" customHeight="1" s="39"/>
    <row r="398" ht="15.75" customHeight="1" s="39"/>
    <row r="399" ht="15.75" customHeight="1" s="39"/>
    <row r="400" ht="15.75" customHeight="1" s="39"/>
    <row r="401" ht="15.75" customHeight="1" s="39"/>
    <row r="402" ht="15.75" customHeight="1" s="39"/>
    <row r="403" ht="15.75" customHeight="1" s="39"/>
    <row r="404" ht="15.75" customHeight="1" s="39"/>
    <row r="405" ht="15.75" customHeight="1" s="39"/>
    <row r="406" ht="15.75" customHeight="1" s="39"/>
    <row r="407" ht="15.75" customHeight="1" s="39"/>
    <row r="408" ht="15.75" customHeight="1" s="39"/>
    <row r="409" ht="15.75" customHeight="1" s="39"/>
    <row r="410" ht="15.75" customHeight="1" s="39"/>
    <row r="411" ht="15.75" customHeight="1" s="39"/>
    <row r="412" ht="15.75" customHeight="1" s="39"/>
    <row r="413" ht="15.75" customHeight="1" s="39"/>
    <row r="414" ht="15.75" customHeight="1" s="39"/>
    <row r="415" ht="15.75" customHeight="1" s="39"/>
    <row r="416" ht="15.75" customHeight="1" s="39"/>
    <row r="417" ht="15.75" customHeight="1" s="39"/>
    <row r="418" ht="15.75" customHeight="1" s="39"/>
    <row r="419" ht="15.75" customHeight="1" s="39"/>
    <row r="420" ht="15.75" customHeight="1" s="39"/>
    <row r="421" ht="15.75" customHeight="1" s="39"/>
    <row r="422" ht="15.75" customHeight="1" s="39"/>
    <row r="423" ht="15.75" customHeight="1" s="39"/>
    <row r="424" ht="15.75" customHeight="1" s="39"/>
    <row r="425" ht="15.75" customHeight="1" s="39"/>
    <row r="426" ht="15.75" customHeight="1" s="39"/>
    <row r="427" ht="15.75" customHeight="1" s="39"/>
    <row r="428" ht="15.75" customHeight="1" s="39"/>
    <row r="429" ht="15.75" customHeight="1" s="39"/>
    <row r="430" ht="15.75" customHeight="1" s="39"/>
    <row r="431" ht="15.75" customHeight="1" s="39"/>
    <row r="432" ht="15.75" customHeight="1" s="39"/>
    <row r="433" ht="15.75" customHeight="1" s="39"/>
    <row r="434" ht="15.75" customHeight="1" s="39"/>
    <row r="435" ht="15.75" customHeight="1" s="39"/>
    <row r="436" ht="15.75" customHeight="1" s="39"/>
    <row r="437" ht="15.75" customHeight="1" s="39"/>
    <row r="438" ht="15.75" customHeight="1" s="39"/>
    <row r="439" ht="15.75" customHeight="1" s="39"/>
    <row r="440" ht="15.75" customHeight="1" s="39"/>
    <row r="441" ht="15.75" customHeight="1" s="39"/>
    <row r="442" ht="15.75" customHeight="1" s="39"/>
    <row r="443" ht="15.75" customHeight="1" s="39"/>
    <row r="444" ht="15.75" customHeight="1" s="39"/>
    <row r="445" ht="15.75" customHeight="1" s="39"/>
    <row r="446" ht="15.75" customHeight="1" s="39"/>
    <row r="447" ht="15.75" customHeight="1" s="39"/>
    <row r="448" ht="15.75" customHeight="1" s="39"/>
    <row r="449" ht="15.75" customHeight="1" s="39"/>
    <row r="450" ht="15.75" customHeight="1" s="39"/>
    <row r="451" ht="15.75" customHeight="1" s="39"/>
    <row r="452" ht="15.75" customHeight="1" s="39"/>
    <row r="453" ht="15.75" customHeight="1" s="39"/>
    <row r="454" ht="15.75" customHeight="1" s="39"/>
    <row r="455" ht="15.75" customHeight="1" s="39"/>
    <row r="456" ht="15.75" customHeight="1" s="39"/>
    <row r="457" ht="15.75" customHeight="1" s="39"/>
    <row r="458" ht="15.75" customHeight="1" s="39"/>
    <row r="459" ht="15.75" customHeight="1" s="39"/>
    <row r="460" ht="15.75" customHeight="1" s="39"/>
    <row r="461" ht="15.75" customHeight="1" s="39"/>
    <row r="462" ht="15.75" customHeight="1" s="39"/>
    <row r="463" ht="15.75" customHeight="1" s="39"/>
    <row r="464" ht="15.75" customHeight="1" s="39"/>
    <row r="465" ht="15.75" customHeight="1" s="39"/>
    <row r="466" ht="15.75" customHeight="1" s="39"/>
    <row r="467" ht="15.75" customHeight="1" s="39"/>
    <row r="468" ht="15.75" customHeight="1" s="39"/>
    <row r="469" ht="15.75" customHeight="1" s="39"/>
    <row r="470" ht="15.75" customHeight="1" s="39"/>
    <row r="471" ht="15.75" customHeight="1" s="39"/>
    <row r="472" ht="15.75" customHeight="1" s="39"/>
    <row r="473" ht="15.75" customHeight="1" s="39"/>
    <row r="474" ht="15.75" customHeight="1" s="39"/>
    <row r="475" ht="15.75" customHeight="1" s="39"/>
    <row r="476" ht="15.75" customHeight="1" s="39"/>
    <row r="477" ht="15.75" customHeight="1" s="39"/>
    <row r="478" ht="15.75" customHeight="1" s="39"/>
    <row r="479" ht="15.75" customHeight="1" s="39"/>
    <row r="480" ht="15.75" customHeight="1" s="39"/>
    <row r="481" ht="15.75" customHeight="1" s="39"/>
    <row r="482" ht="15.75" customHeight="1" s="39"/>
    <row r="483" ht="15.75" customHeight="1" s="39"/>
    <row r="484" ht="15.75" customHeight="1" s="39"/>
    <row r="485" ht="15.75" customHeight="1" s="39"/>
    <row r="486" ht="15.75" customHeight="1" s="39"/>
    <row r="487" ht="15.75" customHeight="1" s="39"/>
    <row r="488" ht="15.75" customHeight="1" s="39"/>
    <row r="489" ht="15.75" customHeight="1" s="39"/>
    <row r="490" ht="15.75" customHeight="1" s="39"/>
    <row r="491" ht="15.75" customHeight="1" s="39"/>
    <row r="492" ht="15.75" customHeight="1" s="39"/>
    <row r="493" ht="15.75" customHeight="1" s="39"/>
    <row r="494" ht="15.75" customHeight="1" s="39"/>
    <row r="495" ht="15.75" customHeight="1" s="39"/>
    <row r="496" ht="15.75" customHeight="1" s="39"/>
    <row r="497" ht="15.75" customHeight="1" s="39"/>
    <row r="498" ht="15.75" customHeight="1" s="39"/>
    <row r="499" ht="15.75" customHeight="1" s="39"/>
    <row r="500" ht="15.75" customHeight="1" s="39"/>
    <row r="501" ht="15.75" customHeight="1" s="39"/>
    <row r="502" ht="15.75" customHeight="1" s="39"/>
    <row r="503" ht="15.75" customHeight="1" s="39"/>
    <row r="504" ht="15.75" customHeight="1" s="39"/>
    <row r="505" ht="15.75" customHeight="1" s="39"/>
    <row r="506" ht="15.75" customHeight="1" s="39"/>
    <row r="507" ht="15.75" customHeight="1" s="39"/>
    <row r="508" ht="15.75" customHeight="1" s="39"/>
    <row r="509" ht="15.75" customHeight="1" s="39"/>
    <row r="510" ht="15.75" customHeight="1" s="39"/>
    <row r="511" ht="15.75" customHeight="1" s="39"/>
    <row r="512" ht="15.75" customHeight="1" s="39"/>
    <row r="513" ht="15.75" customHeight="1" s="39"/>
    <row r="514" ht="15.75" customHeight="1" s="39"/>
    <row r="515" ht="15.75" customHeight="1" s="39"/>
    <row r="516" ht="15.75" customHeight="1" s="39"/>
    <row r="517" ht="15.75" customHeight="1" s="39"/>
    <row r="518" ht="15.75" customHeight="1" s="39"/>
    <row r="519" ht="15.75" customHeight="1" s="39"/>
    <row r="520" ht="15.75" customHeight="1" s="39"/>
    <row r="521" ht="15.75" customHeight="1" s="39"/>
    <row r="522" ht="15.75" customHeight="1" s="39"/>
    <row r="523" ht="15.75" customHeight="1" s="39"/>
    <row r="524" ht="15.75" customHeight="1" s="39"/>
    <row r="525" ht="15.75" customHeight="1" s="39"/>
    <row r="526" ht="15.75" customHeight="1" s="39"/>
    <row r="527" ht="15.75" customHeight="1" s="39"/>
    <row r="528" ht="15.75" customHeight="1" s="39"/>
    <row r="529" ht="15.75" customHeight="1" s="39"/>
    <row r="530" ht="15.75" customHeight="1" s="39"/>
    <row r="531" ht="15.75" customHeight="1" s="39"/>
    <row r="532" ht="15.75" customHeight="1" s="39"/>
    <row r="533" ht="15.75" customHeight="1" s="39"/>
    <row r="534" ht="15.75" customHeight="1" s="39"/>
    <row r="535" ht="15.75" customHeight="1" s="39"/>
    <row r="536" ht="15.75" customHeight="1" s="39"/>
    <row r="537" ht="15.75" customHeight="1" s="39"/>
    <row r="538" ht="15.75" customHeight="1" s="39"/>
    <row r="539" ht="15.75" customHeight="1" s="39"/>
    <row r="540" ht="15.75" customHeight="1" s="39"/>
    <row r="541" ht="15.75" customHeight="1" s="39"/>
    <row r="542" ht="15.75" customHeight="1" s="39"/>
    <row r="543" ht="15.75" customHeight="1" s="39"/>
    <row r="544" ht="15.75" customHeight="1" s="39"/>
    <row r="545" ht="15.75" customHeight="1" s="39"/>
    <row r="546" ht="15.75" customHeight="1" s="39"/>
    <row r="547" ht="15.75" customHeight="1" s="39"/>
    <row r="548" ht="15.75" customHeight="1" s="39"/>
    <row r="549" ht="15.75" customHeight="1" s="39"/>
    <row r="550" ht="15.75" customHeight="1" s="39"/>
    <row r="551" ht="15.75" customHeight="1" s="39"/>
    <row r="552" ht="15.75" customHeight="1" s="39"/>
    <row r="553" ht="15.75" customHeight="1" s="39"/>
    <row r="554" ht="15.75" customHeight="1" s="39"/>
    <row r="555" ht="15.75" customHeight="1" s="39"/>
    <row r="556" ht="15.75" customHeight="1" s="39"/>
    <row r="557" ht="15.75" customHeight="1" s="39"/>
    <row r="558" ht="15.75" customHeight="1" s="39"/>
    <row r="559" ht="15.75" customHeight="1" s="39"/>
    <row r="560" ht="15.75" customHeight="1" s="39"/>
    <row r="561" ht="15.75" customHeight="1" s="39"/>
    <row r="562" ht="15.75" customHeight="1" s="39"/>
    <row r="563" ht="15.75" customHeight="1" s="39"/>
    <row r="564" ht="15.75" customHeight="1" s="39"/>
    <row r="565" ht="15.75" customHeight="1" s="39"/>
    <row r="566" ht="15.75" customHeight="1" s="39"/>
    <row r="567" ht="15.75" customHeight="1" s="39"/>
    <row r="568" ht="15.75" customHeight="1" s="39"/>
    <row r="569" ht="15.75" customHeight="1" s="39"/>
    <row r="570" ht="15.75" customHeight="1" s="39"/>
    <row r="571" ht="15.75" customHeight="1" s="39"/>
    <row r="572" ht="15.75" customHeight="1" s="39"/>
    <row r="573" ht="15.75" customHeight="1" s="39"/>
    <row r="574" ht="15.75" customHeight="1" s="39"/>
    <row r="575" ht="15.75" customHeight="1" s="39"/>
    <row r="576" ht="15.75" customHeight="1" s="39"/>
    <row r="577" ht="15.75" customHeight="1" s="39"/>
    <row r="578" ht="15.75" customHeight="1" s="39"/>
    <row r="579" ht="15.75" customHeight="1" s="39"/>
    <row r="580" ht="15.75" customHeight="1" s="39"/>
    <row r="581" ht="15.75" customHeight="1" s="39"/>
    <row r="582" ht="15.75" customHeight="1" s="39"/>
    <row r="583" ht="15.75" customHeight="1" s="39"/>
    <row r="584" ht="15.75" customHeight="1" s="39"/>
    <row r="585" ht="15.75" customHeight="1" s="39"/>
    <row r="586" ht="15.75" customHeight="1" s="39"/>
    <row r="587" ht="15.75" customHeight="1" s="39"/>
    <row r="588" ht="15.75" customHeight="1" s="39"/>
    <row r="589" ht="15.75" customHeight="1" s="39"/>
    <row r="590" ht="15.75" customHeight="1" s="39"/>
    <row r="591" ht="15.75" customHeight="1" s="39"/>
    <row r="592" ht="15.75" customHeight="1" s="39"/>
    <row r="593" ht="15.75" customHeight="1" s="39"/>
    <row r="594" ht="15.75" customHeight="1" s="39"/>
    <row r="595" ht="15.75" customHeight="1" s="39"/>
    <row r="596" ht="15.75" customHeight="1" s="39"/>
    <row r="597" ht="15.75" customHeight="1" s="39"/>
    <row r="598" ht="15.75" customHeight="1" s="39"/>
    <row r="599" ht="15.75" customHeight="1" s="39"/>
    <row r="600" ht="15.75" customHeight="1" s="39"/>
    <row r="601" ht="15.75" customHeight="1" s="39"/>
    <row r="602" ht="15.75" customHeight="1" s="39"/>
    <row r="603" ht="15.75" customHeight="1" s="39"/>
    <row r="604" ht="15.75" customHeight="1" s="39"/>
    <row r="605" ht="15.75" customHeight="1" s="39"/>
    <row r="606" ht="15.75" customHeight="1" s="39"/>
    <row r="607" ht="15.75" customHeight="1" s="39"/>
    <row r="608" ht="15.75" customHeight="1" s="39"/>
    <row r="609" ht="15.75" customHeight="1" s="39"/>
    <row r="610" ht="15.75" customHeight="1" s="39"/>
    <row r="611" ht="15.75" customHeight="1" s="39"/>
    <row r="612" ht="15.75" customHeight="1" s="39"/>
    <row r="613" ht="15.75" customHeight="1" s="39"/>
    <row r="614" ht="15.75" customHeight="1" s="39"/>
    <row r="615" ht="15.75" customHeight="1" s="39"/>
    <row r="616" ht="15.75" customHeight="1" s="39"/>
    <row r="617" ht="15.75" customHeight="1" s="39"/>
    <row r="618" ht="15.75" customHeight="1" s="39"/>
    <row r="619" ht="15.75" customHeight="1" s="39"/>
    <row r="620" ht="15.75" customHeight="1" s="39"/>
    <row r="621" ht="15.75" customHeight="1" s="39"/>
    <row r="622" ht="15.75" customHeight="1" s="39"/>
    <row r="623" ht="15.75" customHeight="1" s="39"/>
    <row r="624" ht="15.75" customHeight="1" s="39"/>
    <row r="625" ht="15.75" customHeight="1" s="39"/>
    <row r="626" ht="15.75" customHeight="1" s="39"/>
    <row r="627" ht="15.75" customHeight="1" s="39"/>
    <row r="628" ht="15.75" customHeight="1" s="39"/>
    <row r="629" ht="15.75" customHeight="1" s="39"/>
    <row r="630" ht="15.75" customHeight="1" s="39"/>
    <row r="631" ht="15.75" customHeight="1" s="39"/>
    <row r="632" ht="15.75" customHeight="1" s="39"/>
    <row r="633" ht="15.75" customHeight="1" s="39"/>
    <row r="634" ht="15.75" customHeight="1" s="39"/>
    <row r="635" ht="15.75" customHeight="1" s="39"/>
    <row r="636" ht="15.75" customHeight="1" s="39"/>
    <row r="637" ht="15.75" customHeight="1" s="39"/>
    <row r="638" ht="15.75" customHeight="1" s="39"/>
    <row r="639" ht="15.75" customHeight="1" s="39"/>
    <row r="640" ht="15.75" customHeight="1" s="39"/>
    <row r="641" ht="15.75" customHeight="1" s="39"/>
    <row r="642" ht="15.75" customHeight="1" s="39"/>
    <row r="643" ht="15.75" customHeight="1" s="39"/>
    <row r="644" ht="15.75" customHeight="1" s="39"/>
    <row r="645" ht="15.75" customHeight="1" s="39"/>
    <row r="646" ht="15.75" customHeight="1" s="39"/>
    <row r="647" ht="15.75" customHeight="1" s="39"/>
    <row r="648" ht="15.75" customHeight="1" s="39"/>
    <row r="649" ht="15.75" customHeight="1" s="39"/>
    <row r="650" ht="15.75" customHeight="1" s="39"/>
    <row r="651" ht="15.75" customHeight="1" s="39"/>
    <row r="652" ht="15.75" customHeight="1" s="39"/>
    <row r="653" ht="15.75" customHeight="1" s="39"/>
    <row r="654" ht="15.75" customHeight="1" s="39"/>
    <row r="655" ht="15.75" customHeight="1" s="39"/>
    <row r="656" ht="15.75" customHeight="1" s="39"/>
    <row r="657" ht="15.75" customHeight="1" s="39"/>
    <row r="658" ht="15.75" customHeight="1" s="39"/>
    <row r="659" ht="15.75" customHeight="1" s="39"/>
    <row r="660" ht="15.75" customHeight="1" s="39"/>
    <row r="661" ht="15.75" customHeight="1" s="39"/>
    <row r="662" ht="15.75" customHeight="1" s="39"/>
    <row r="663" ht="15.75" customHeight="1" s="39"/>
    <row r="664" ht="15.75" customHeight="1" s="39"/>
    <row r="665" ht="15.75" customHeight="1" s="39"/>
    <row r="666" ht="15.75" customHeight="1" s="39"/>
    <row r="667" ht="15.75" customHeight="1" s="39"/>
    <row r="668" ht="15.75" customHeight="1" s="39"/>
    <row r="669" ht="15.75" customHeight="1" s="39"/>
    <row r="670" ht="15.75" customHeight="1" s="39"/>
    <row r="671" ht="15.75" customHeight="1" s="39"/>
    <row r="672" ht="15.75" customHeight="1" s="39"/>
    <row r="673" ht="15.75" customHeight="1" s="39"/>
    <row r="674" ht="15.75" customHeight="1" s="39"/>
    <row r="675" ht="15.75" customHeight="1" s="39"/>
    <row r="676" ht="15.75" customHeight="1" s="39"/>
    <row r="677" ht="15.75" customHeight="1" s="39"/>
    <row r="678" ht="15.75" customHeight="1" s="39"/>
    <row r="679" ht="15.75" customHeight="1" s="39"/>
    <row r="680" ht="15.75" customHeight="1" s="39"/>
    <row r="681" ht="15.75" customHeight="1" s="39"/>
    <row r="682" ht="15.75" customHeight="1" s="39"/>
    <row r="683" ht="15.75" customHeight="1" s="39"/>
    <row r="684" ht="15.75" customHeight="1" s="39"/>
    <row r="685" ht="15.75" customHeight="1" s="39"/>
    <row r="686" ht="15.75" customHeight="1" s="39"/>
    <row r="687" ht="15.75" customHeight="1" s="39"/>
    <row r="688" ht="15.75" customHeight="1" s="39"/>
    <row r="689" ht="15.75" customHeight="1" s="39"/>
    <row r="690" ht="15.75" customHeight="1" s="39"/>
    <row r="691" ht="15.75" customHeight="1" s="39"/>
    <row r="692" ht="15.75" customHeight="1" s="39"/>
    <row r="693" ht="15.75" customHeight="1" s="39"/>
    <row r="694" ht="15.75" customHeight="1" s="39"/>
    <row r="695" ht="15.75" customHeight="1" s="39"/>
    <row r="696" ht="15.75" customHeight="1" s="39"/>
    <row r="697" ht="15.75" customHeight="1" s="39"/>
    <row r="698" ht="15.75" customHeight="1" s="39"/>
    <row r="699" ht="15.75" customHeight="1" s="39"/>
    <row r="700" ht="15.75" customHeight="1" s="39"/>
    <row r="701" ht="15.75" customHeight="1" s="39"/>
    <row r="702" ht="15.75" customHeight="1" s="39"/>
    <row r="703" ht="15.75" customHeight="1" s="39"/>
    <row r="704" ht="15.75" customHeight="1" s="39"/>
    <row r="705" ht="15.75" customHeight="1" s="39"/>
    <row r="706" ht="15.75" customHeight="1" s="39"/>
    <row r="707" ht="15.75" customHeight="1" s="39"/>
    <row r="708" ht="15.75" customHeight="1" s="39"/>
    <row r="709" ht="15.75" customHeight="1" s="39"/>
    <row r="710" ht="15.75" customHeight="1" s="39"/>
    <row r="711" ht="15.75" customHeight="1" s="39"/>
    <row r="712" ht="15.75" customHeight="1" s="39"/>
    <row r="713" ht="15.75" customHeight="1" s="39"/>
    <row r="714" ht="15.75" customHeight="1" s="39"/>
    <row r="715" ht="15.75" customHeight="1" s="39"/>
    <row r="716" ht="15.75" customHeight="1" s="39"/>
    <row r="717" ht="15.75" customHeight="1" s="39"/>
    <row r="718" ht="15.75" customHeight="1" s="39"/>
    <row r="719" ht="15.75" customHeight="1" s="39"/>
    <row r="720" ht="15.75" customHeight="1" s="39"/>
    <row r="721" ht="15.75" customHeight="1" s="39"/>
    <row r="722" ht="15.75" customHeight="1" s="39"/>
    <row r="723" ht="15.75" customHeight="1" s="39"/>
    <row r="724" ht="15.75" customHeight="1" s="39"/>
    <row r="725" ht="15.75" customHeight="1" s="39"/>
    <row r="726" ht="15.75" customHeight="1" s="39"/>
    <row r="727" ht="15.75" customHeight="1" s="39"/>
    <row r="728" ht="15.75" customHeight="1" s="39"/>
    <row r="729" ht="15.75" customHeight="1" s="39"/>
    <row r="730" ht="15.75" customHeight="1" s="39"/>
    <row r="731" ht="15.75" customHeight="1" s="39"/>
    <row r="732" ht="15.75" customHeight="1" s="39"/>
    <row r="733" ht="15.75" customHeight="1" s="39"/>
    <row r="734" ht="15.75" customHeight="1" s="39"/>
    <row r="735" ht="15.75" customHeight="1" s="39"/>
    <row r="736" ht="15.75" customHeight="1" s="39"/>
    <row r="737" ht="15.75" customHeight="1" s="39"/>
    <row r="738" ht="15.75" customHeight="1" s="39"/>
    <row r="739" ht="15.75" customHeight="1" s="39"/>
    <row r="740" ht="15.75" customHeight="1" s="39"/>
    <row r="741" ht="15.75" customHeight="1" s="39"/>
    <row r="742" ht="15.75" customHeight="1" s="39"/>
    <row r="743" ht="15.75" customHeight="1" s="39"/>
    <row r="744" ht="15.75" customHeight="1" s="39"/>
    <row r="745" ht="15.75" customHeight="1" s="39"/>
    <row r="746" ht="15.75" customHeight="1" s="39"/>
    <row r="747" ht="15.75" customHeight="1" s="39"/>
    <row r="748" ht="15.75" customHeight="1" s="39"/>
    <row r="749" ht="15.75" customHeight="1" s="39"/>
    <row r="750" ht="15.75" customHeight="1" s="39"/>
    <row r="751" ht="15.75" customHeight="1" s="39"/>
    <row r="752" ht="15.75" customHeight="1" s="39"/>
    <row r="753" ht="15.75" customHeight="1" s="39"/>
    <row r="754" ht="15.75" customHeight="1" s="39"/>
    <row r="755" ht="15.75" customHeight="1" s="39"/>
    <row r="756" ht="15.75" customHeight="1" s="39"/>
    <row r="757" ht="15.75" customHeight="1" s="39"/>
    <row r="758" ht="15.75" customHeight="1" s="39"/>
    <row r="759" ht="15.75" customHeight="1" s="39"/>
    <row r="760" ht="15.75" customHeight="1" s="39"/>
    <row r="761" ht="15.75" customHeight="1" s="39"/>
    <row r="762" ht="15.75" customHeight="1" s="39"/>
    <row r="763" ht="15.75" customHeight="1" s="39"/>
    <row r="764" ht="15.75" customHeight="1" s="39"/>
    <row r="765" ht="15.75" customHeight="1" s="39"/>
    <row r="766" ht="15.75" customHeight="1" s="39"/>
    <row r="767" ht="15.75" customHeight="1" s="39"/>
    <row r="768" ht="15.75" customHeight="1" s="39"/>
    <row r="769" ht="15.75" customHeight="1" s="39"/>
    <row r="770" ht="15.75" customHeight="1" s="39"/>
    <row r="771" ht="15.75" customHeight="1" s="39"/>
    <row r="772" ht="15.75" customHeight="1" s="39"/>
    <row r="773" ht="15.75" customHeight="1" s="39"/>
    <row r="774" ht="15.75" customHeight="1" s="39"/>
    <row r="775" ht="15.75" customHeight="1" s="39"/>
    <row r="776" ht="15.75" customHeight="1" s="39"/>
    <row r="777" ht="15.75" customHeight="1" s="39"/>
    <row r="778" ht="15.75" customHeight="1" s="39"/>
    <row r="779" ht="15.75" customHeight="1" s="39"/>
    <row r="780" ht="15.75" customHeight="1" s="39"/>
    <row r="781" ht="15.75" customHeight="1" s="39"/>
    <row r="782" ht="15.75" customHeight="1" s="39"/>
    <row r="783" ht="15.75" customHeight="1" s="39"/>
    <row r="784" ht="15.75" customHeight="1" s="39"/>
    <row r="785" ht="15.75" customHeight="1" s="39"/>
    <row r="786" ht="15.75" customHeight="1" s="39"/>
    <row r="787" ht="15.75" customHeight="1" s="39"/>
    <row r="788" ht="15.75" customHeight="1" s="39"/>
    <row r="789" ht="15.75" customHeight="1" s="39"/>
    <row r="790" ht="15.75" customHeight="1" s="39"/>
    <row r="791" ht="15.75" customHeight="1" s="39"/>
    <row r="792" ht="15.75" customHeight="1" s="39"/>
    <row r="793" ht="15.75" customHeight="1" s="39"/>
    <row r="794" ht="15.75" customHeight="1" s="39"/>
    <row r="795" ht="15.75" customHeight="1" s="39"/>
    <row r="796" ht="15.75" customHeight="1" s="39"/>
    <row r="797" ht="15.75" customHeight="1" s="39"/>
    <row r="798" ht="15.75" customHeight="1" s="39"/>
    <row r="799" ht="15.75" customHeight="1" s="39"/>
    <row r="800" ht="15.75" customHeight="1" s="39"/>
    <row r="801" ht="15.75" customHeight="1" s="39"/>
    <row r="802" ht="15.75" customHeight="1" s="39"/>
    <row r="803" ht="15.75" customHeight="1" s="39"/>
    <row r="804" ht="15.75" customHeight="1" s="39"/>
    <row r="805" ht="15.75" customHeight="1" s="39"/>
    <row r="806" ht="15.75" customHeight="1" s="39"/>
    <row r="807" ht="15.75" customHeight="1" s="39"/>
    <row r="808" ht="15.75" customHeight="1" s="39"/>
    <row r="809" ht="15.75" customHeight="1" s="39"/>
    <row r="810" ht="15.75" customHeight="1" s="39"/>
    <row r="811" ht="15.75" customHeight="1" s="39"/>
    <row r="812" ht="15.75" customHeight="1" s="39"/>
    <row r="813" ht="15.75" customHeight="1" s="39"/>
    <row r="814" ht="15.75" customHeight="1" s="39"/>
    <row r="815" ht="15.75" customHeight="1" s="39"/>
    <row r="816" ht="15.75" customHeight="1" s="39"/>
    <row r="817" ht="15.75" customHeight="1" s="39"/>
    <row r="818" ht="15.75" customHeight="1" s="39"/>
    <row r="819" ht="15.75" customHeight="1" s="39"/>
    <row r="820" ht="15.75" customHeight="1" s="39"/>
    <row r="821" ht="15.75" customHeight="1" s="39"/>
    <row r="822" ht="15.75" customHeight="1" s="39"/>
    <row r="823" ht="15.75" customHeight="1" s="39"/>
    <row r="824" ht="15.75" customHeight="1" s="39"/>
    <row r="825" ht="15.75" customHeight="1" s="39"/>
    <row r="826" ht="15.75" customHeight="1" s="39"/>
    <row r="827" ht="15.75" customHeight="1" s="39"/>
    <row r="828" ht="15.75" customHeight="1" s="39"/>
    <row r="829" ht="15.75" customHeight="1" s="39"/>
    <row r="830" ht="15.75" customHeight="1" s="39"/>
    <row r="831" ht="15.75" customHeight="1" s="39"/>
    <row r="832" ht="15.75" customHeight="1" s="39"/>
    <row r="833" ht="15.75" customHeight="1" s="39"/>
    <row r="834" ht="15.75" customHeight="1" s="39"/>
    <row r="835" ht="15.75" customHeight="1" s="39"/>
    <row r="836" ht="15.75" customHeight="1" s="39"/>
    <row r="837" ht="15.75" customHeight="1" s="39"/>
    <row r="838" ht="15.75" customHeight="1" s="39"/>
    <row r="839" ht="15.75" customHeight="1" s="39"/>
    <row r="840" ht="15.75" customHeight="1" s="39"/>
    <row r="841" ht="15.75" customHeight="1" s="39"/>
    <row r="842" ht="15.75" customHeight="1" s="39"/>
    <row r="843" ht="15.75" customHeight="1" s="39"/>
    <row r="844" ht="15.75" customHeight="1" s="39"/>
    <row r="845" ht="15.75" customHeight="1" s="39"/>
    <row r="846" ht="15.75" customHeight="1" s="39"/>
    <row r="847" ht="15.75" customHeight="1" s="39"/>
    <row r="848" ht="15.75" customHeight="1" s="39"/>
    <row r="849" ht="15.75" customHeight="1" s="39"/>
    <row r="850" ht="15.75" customHeight="1" s="39"/>
    <row r="851" ht="15.75" customHeight="1" s="39"/>
    <row r="852" ht="15.75" customHeight="1" s="39"/>
    <row r="853" ht="15.75" customHeight="1" s="39"/>
    <row r="854" ht="15.75" customHeight="1" s="39"/>
    <row r="855" ht="15.75" customHeight="1" s="39"/>
    <row r="856" ht="15.75" customHeight="1" s="39"/>
    <row r="857" ht="15.75" customHeight="1" s="39"/>
    <row r="858" ht="15.75" customHeight="1" s="39"/>
    <row r="859" ht="15.75" customHeight="1" s="39"/>
    <row r="860" ht="15.75" customHeight="1" s="39"/>
    <row r="861" ht="15.75" customHeight="1" s="39"/>
    <row r="862" ht="15.75" customHeight="1" s="39"/>
    <row r="863" ht="15.75" customHeight="1" s="39"/>
    <row r="864" ht="15.75" customHeight="1" s="39"/>
    <row r="865" ht="15.75" customHeight="1" s="39"/>
    <row r="866" ht="15.75" customHeight="1" s="39"/>
    <row r="867" ht="15.75" customHeight="1" s="39"/>
    <row r="868" ht="15.75" customHeight="1" s="39"/>
    <row r="869" ht="15.75" customHeight="1" s="39"/>
    <row r="870" ht="15.75" customHeight="1" s="39"/>
    <row r="871" ht="15.75" customHeight="1" s="39"/>
    <row r="872" ht="15.75" customHeight="1" s="39"/>
    <row r="873" ht="15.75" customHeight="1" s="39"/>
    <row r="874" ht="15.75" customHeight="1" s="39"/>
    <row r="875" ht="15.75" customHeight="1" s="39"/>
    <row r="876" ht="15.75" customHeight="1" s="39"/>
    <row r="877" ht="15.75" customHeight="1" s="39"/>
    <row r="878" ht="15.75" customHeight="1" s="39"/>
    <row r="879" ht="15.75" customHeight="1" s="39"/>
    <row r="880" ht="15.75" customHeight="1" s="39"/>
    <row r="881" ht="15.75" customHeight="1" s="39"/>
    <row r="882" ht="15.75" customHeight="1" s="39"/>
    <row r="883" ht="15.75" customHeight="1" s="39"/>
    <row r="884" ht="15.75" customHeight="1" s="39"/>
    <row r="885" ht="15.75" customHeight="1" s="39"/>
    <row r="886" ht="15.75" customHeight="1" s="39"/>
    <row r="887" ht="15.75" customHeight="1" s="39"/>
    <row r="888" ht="15.75" customHeight="1" s="39"/>
    <row r="889" ht="15.75" customHeight="1" s="39"/>
    <row r="890" ht="15.75" customHeight="1" s="39"/>
    <row r="891" ht="15.75" customHeight="1" s="39"/>
    <row r="892" ht="15.75" customHeight="1" s="39"/>
    <row r="893" ht="15.75" customHeight="1" s="39"/>
    <row r="894" ht="15.75" customHeight="1" s="39"/>
    <row r="895" ht="15.75" customHeight="1" s="39"/>
    <row r="896" ht="15.75" customHeight="1" s="39"/>
    <row r="897" ht="15.75" customHeight="1" s="39"/>
    <row r="898" ht="15.75" customHeight="1" s="39"/>
    <row r="899" ht="15.75" customHeight="1" s="39"/>
    <row r="900" ht="15.75" customHeight="1" s="39"/>
    <row r="901" ht="15.75" customHeight="1" s="39"/>
    <row r="902" ht="15.75" customHeight="1" s="39"/>
    <row r="903" ht="15.75" customHeight="1" s="39"/>
    <row r="904" ht="15.75" customHeight="1" s="39"/>
    <row r="905" ht="15.75" customHeight="1" s="39"/>
    <row r="906" ht="15.75" customHeight="1" s="39"/>
    <row r="907" ht="15.75" customHeight="1" s="39"/>
    <row r="908" ht="15.75" customHeight="1" s="39"/>
    <row r="909" ht="15.75" customHeight="1" s="39"/>
    <row r="910" ht="15.75" customHeight="1" s="39"/>
    <row r="911" ht="15.75" customHeight="1" s="39"/>
    <row r="912" ht="15.75" customHeight="1" s="39"/>
    <row r="913" ht="15.75" customHeight="1" s="39"/>
    <row r="914" ht="15.75" customHeight="1" s="39"/>
    <row r="915" ht="15.75" customHeight="1" s="39"/>
    <row r="916" ht="15.75" customHeight="1" s="39"/>
    <row r="917" ht="15.75" customHeight="1" s="39"/>
    <row r="918" ht="15.75" customHeight="1" s="39"/>
    <row r="919" ht="15.75" customHeight="1" s="39"/>
    <row r="920" ht="15.75" customHeight="1" s="39"/>
    <row r="921" ht="15.75" customHeight="1" s="39"/>
    <row r="922" ht="15.75" customHeight="1" s="39"/>
    <row r="923" ht="15.75" customHeight="1" s="39"/>
    <row r="924" ht="15.75" customHeight="1" s="39"/>
    <row r="925" ht="15.75" customHeight="1" s="39"/>
    <row r="926" ht="15.75" customHeight="1" s="39"/>
    <row r="927" ht="15.75" customHeight="1" s="39"/>
    <row r="928" ht="15.75" customHeight="1" s="39"/>
    <row r="929" ht="15.75" customHeight="1" s="39"/>
    <row r="930" ht="15.75" customHeight="1" s="39"/>
    <row r="931" ht="15.75" customHeight="1" s="39"/>
    <row r="932" ht="15.75" customHeight="1" s="39"/>
    <row r="933" ht="15.75" customHeight="1" s="39"/>
    <row r="934" ht="15.75" customHeight="1" s="39"/>
    <row r="935" ht="15.75" customHeight="1" s="39"/>
    <row r="936" ht="15.75" customHeight="1" s="39"/>
    <row r="937" ht="15.75" customHeight="1" s="39"/>
    <row r="938" ht="15.75" customHeight="1" s="39"/>
    <row r="939" ht="15.75" customHeight="1" s="39"/>
    <row r="940" ht="15.75" customHeight="1" s="39"/>
    <row r="941" ht="15.75" customHeight="1" s="39"/>
    <row r="942" ht="15.75" customHeight="1" s="39"/>
    <row r="943" ht="15.75" customHeight="1" s="39"/>
    <row r="944" ht="15.75" customHeight="1" s="39"/>
    <row r="945" ht="15.75" customHeight="1" s="39"/>
    <row r="946" ht="15.75" customHeight="1" s="39"/>
    <row r="947" ht="15.75" customHeight="1" s="39"/>
    <row r="948" ht="15.75" customHeight="1" s="39"/>
    <row r="949" ht="15.75" customHeight="1" s="39"/>
    <row r="950" ht="15.75" customHeight="1" s="39"/>
    <row r="951" ht="15.75" customHeight="1" s="39"/>
    <row r="952" ht="15.75" customHeight="1" s="39"/>
    <row r="953" ht="15.75" customHeight="1" s="39"/>
    <row r="954" ht="15.75" customHeight="1" s="39"/>
    <row r="955" ht="15.75" customHeight="1" s="39"/>
    <row r="956" ht="15.75" customHeight="1" s="39"/>
    <row r="957" ht="15.75" customHeight="1" s="39"/>
    <row r="958" ht="15.75" customHeight="1" s="39"/>
    <row r="959" ht="15.75" customHeight="1" s="39"/>
    <row r="960" ht="15.75" customHeight="1" s="39"/>
    <row r="961" ht="15.75" customHeight="1" s="39"/>
    <row r="962" ht="15.75" customHeight="1" s="39"/>
    <row r="963" ht="15.75" customHeight="1" s="39"/>
    <row r="964" ht="15.75" customHeight="1" s="39"/>
    <row r="965" ht="15.75" customHeight="1" s="39"/>
    <row r="966" ht="15.75" customHeight="1" s="39"/>
    <row r="967" ht="15.75" customHeight="1" s="39"/>
    <row r="968" ht="15.75" customHeight="1" s="39"/>
    <row r="969" ht="15.75" customHeight="1" s="39"/>
    <row r="970" ht="15.75" customHeight="1" s="39"/>
    <row r="971" ht="15.75" customHeight="1" s="39"/>
    <row r="972" ht="15.75" customHeight="1" s="39"/>
    <row r="973" ht="15.75" customHeight="1" s="39"/>
    <row r="974" ht="15.75" customHeight="1" s="39"/>
    <row r="975" ht="15.75" customHeight="1" s="39"/>
    <row r="976" ht="15.75" customHeight="1" s="39"/>
    <row r="977" ht="15.75" customHeight="1" s="39"/>
    <row r="978" ht="15.75" customHeight="1" s="39"/>
    <row r="979" ht="15.75" customHeight="1" s="39"/>
    <row r="980" ht="15.75" customHeight="1" s="39"/>
    <row r="981" ht="15.75" customHeight="1" s="39"/>
    <row r="982" ht="15.75" customHeight="1" s="39"/>
    <row r="983" ht="15.75" customHeight="1" s="39"/>
    <row r="984" ht="15.75" customHeight="1" s="39"/>
    <row r="985" ht="15.75" customHeight="1" s="39"/>
    <row r="986" ht="15.75" customHeight="1" s="39"/>
    <row r="987" ht="15.75" customHeight="1" s="39"/>
    <row r="988" ht="15.75" customHeight="1" s="39"/>
    <row r="989" ht="15.75" customHeight="1" s="39"/>
    <row r="990" ht="15.75" customHeight="1" s="39"/>
    <row r="991" ht="15.75" customHeight="1" s="39"/>
    <row r="992" ht="15.75" customHeight="1" s="39"/>
    <row r="993" ht="15.75" customHeight="1" s="39"/>
    <row r="994" ht="15.75" customHeight="1" s="39"/>
    <row r="995" ht="15.75" customHeight="1" s="39"/>
    <row r="996" ht="15.75" customHeight="1" s="39"/>
    <row r="997" ht="15.75" customHeight="1" s="39"/>
    <row r="998" ht="15.75" customHeight="1" s="39"/>
    <row r="999" ht="15.75" customHeight="1" s="39"/>
    <row r="1000" ht="15.75" customHeight="1" s="39"/>
  </sheetData>
  <mergeCells count="2">
    <mergeCell ref="A2:N2"/>
    <mergeCell ref="A1:N1"/>
  </mergeCells>
  <conditionalFormatting sqref="B21:M21">
    <cfRule type="cellIs" priority="1" operator="lessThan" dxfId="1">
      <formula>-50</formula>
    </cfRule>
    <cfRule type="cellIs" priority="2" operator="greaterThan" dxfId="1">
      <formula>50</formula>
    </cfRule>
  </conditionalFormatting>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N23"/>
  <sheetViews>
    <sheetView workbookViewId="0">
      <selection activeCell="A1" sqref="A1"/>
    </sheetView>
  </sheetViews>
  <sheetFormatPr baseColWidth="8" defaultColWidth="14.43" defaultRowHeight="15" customHeight="1"/>
  <cols>
    <col width="40" customWidth="1" style="39" min="1" max="1"/>
    <col width="11" customWidth="1" style="39" min="2" max="14"/>
    <col width="8.710000000000001" customWidth="1" style="39" min="15" max="26"/>
  </cols>
  <sheetData>
    <row r="1">
      <c r="A1" s="16" t="inlineStr">
        <is>
          <t>Solar Panel ROI Tracker</t>
        </is>
      </c>
    </row>
    <row r="2">
      <c r="A2" s="4" t="inlineStr">
        <is>
          <t>Capital costs in row 5. Net meter goes live: track baseline (what you would have paid) vs. actual (with solar).</t>
        </is>
      </c>
    </row>
    <row r="4">
      <c r="A4" s="5" t="inlineStr">
        <is>
          <t>Item</t>
        </is>
      </c>
      <c r="B4" s="5" t="inlineStr">
        <is>
          <t>Jan</t>
        </is>
      </c>
      <c r="C4" s="5" t="inlineStr">
        <is>
          <t>Feb</t>
        </is>
      </c>
      <c r="D4" s="5" t="inlineStr">
        <is>
          <t>Mar</t>
        </is>
      </c>
      <c r="E4" s="5" t="inlineStr">
        <is>
          <t>Apr</t>
        </is>
      </c>
      <c r="F4" s="5" t="inlineStr">
        <is>
          <t>May</t>
        </is>
      </c>
      <c r="G4" s="5" t="inlineStr">
        <is>
          <t>Jun</t>
        </is>
      </c>
      <c r="H4" s="5" t="inlineStr">
        <is>
          <t>Jul</t>
        </is>
      </c>
      <c r="I4" s="5" t="inlineStr">
        <is>
          <t>Aug</t>
        </is>
      </c>
      <c r="J4" s="5" t="inlineStr">
        <is>
          <t>Sep</t>
        </is>
      </c>
      <c r="K4" s="5" t="inlineStr">
        <is>
          <t>Oct</t>
        </is>
      </c>
      <c r="L4" s="5" t="inlineStr">
        <is>
          <t>Nov</t>
        </is>
      </c>
      <c r="M4" s="5" t="inlineStr">
        <is>
          <t>Dec</t>
        </is>
      </c>
      <c r="N4" s="5" t="inlineStr">
        <is>
          <t>YTD</t>
        </is>
      </c>
    </row>
    <row r="5">
      <c r="A5" s="10" t="inlineStr">
        <is>
          <t>Capital outlay</t>
        </is>
      </c>
      <c r="B5" s="8" t="n">
        <v>5000</v>
      </c>
      <c r="C5" s="8" t="n"/>
      <c r="D5" s="8" t="n">
        <v>26318</v>
      </c>
      <c r="E5" s="8" t="n"/>
      <c r="F5" s="8" t="n">
        <v>2000</v>
      </c>
      <c r="G5" s="8" t="n"/>
      <c r="H5" s="8" t="n"/>
      <c r="I5" s="8" t="n"/>
      <c r="J5" s="8" t="n"/>
      <c r="K5" s="8" t="n"/>
      <c r="L5" s="8" t="n"/>
      <c r="M5" s="8" t="n"/>
      <c r="N5" s="15">
        <f>SUM(B5:M5)</f>
        <v/>
      </c>
    </row>
    <row r="6">
      <c r="A6" s="10" t="inlineStr">
        <is>
          <t>Tax credits / incentives</t>
        </is>
      </c>
      <c r="B6" s="40" t="n"/>
      <c r="C6" s="40" t="n"/>
      <c r="D6" s="40" t="n"/>
      <c r="E6" s="40" t="n"/>
      <c r="F6" s="40" t="n"/>
      <c r="G6" s="40" t="n"/>
      <c r="H6" s="40" t="n"/>
      <c r="I6" s="40" t="n"/>
      <c r="J6" s="40" t="n"/>
      <c r="K6" s="40" t="n"/>
      <c r="L6" s="40" t="n"/>
      <c r="M6" s="40" t="n"/>
      <c r="N6" s="15">
        <f>SUM(B6:M6)</f>
        <v/>
      </c>
    </row>
    <row r="7">
      <c r="A7" s="11" t="inlineStr">
        <is>
          <t>Net capital cost</t>
        </is>
      </c>
      <c r="B7" s="13" t="n"/>
      <c r="C7" s="13" t="n"/>
      <c r="D7" s="13" t="n"/>
      <c r="E7" s="13" t="n"/>
      <c r="F7" s="13" t="n"/>
      <c r="G7" s="13" t="n"/>
      <c r="H7" s="13" t="n"/>
      <c r="I7" s="13" t="n"/>
      <c r="J7" s="13" t="n"/>
      <c r="K7" s="13" t="n"/>
      <c r="L7" s="13" t="n"/>
      <c r="M7" s="13" t="n"/>
      <c r="N7" s="13">
        <f>N5-N6</f>
        <v/>
      </c>
    </row>
    <row r="9">
      <c r="A9" s="10" t="inlineStr">
        <is>
          <t>Baseline electric (estimate)</t>
        </is>
      </c>
      <c r="B9" s="40" t="n"/>
      <c r="C9" s="40" t="n"/>
      <c r="D9" s="40" t="n"/>
      <c r="E9" s="40" t="n"/>
      <c r="F9" s="40" t="n"/>
      <c r="G9" s="40" t="n"/>
      <c r="H9" s="40" t="n"/>
      <c r="I9" s="40" t="n"/>
      <c r="J9" s="40" t="n"/>
      <c r="K9" s="40" t="n"/>
      <c r="L9" s="40" t="n"/>
      <c r="M9" s="40" t="n"/>
      <c r="N9" s="15">
        <f>SUM(B9:M9)</f>
        <v/>
      </c>
    </row>
    <row r="10">
      <c r="A10" s="10" t="inlineStr">
        <is>
          <t>Actual electric bill</t>
        </is>
      </c>
      <c r="B10" s="8" t="n"/>
      <c r="C10" s="8" t="n"/>
      <c r="D10" s="8" t="n"/>
      <c r="E10" s="8" t="n"/>
      <c r="F10" s="8" t="n">
        <v>87</v>
      </c>
      <c r="G10" s="8" t="n"/>
      <c r="H10" s="8" t="n"/>
      <c r="I10" s="8" t="n"/>
      <c r="J10" s="8" t="n"/>
      <c r="K10" s="8" t="n"/>
      <c r="L10" s="8" t="n"/>
      <c r="M10" s="8" t="n"/>
      <c r="N10" s="15">
        <f>SUM(B10:M10)</f>
        <v/>
      </c>
    </row>
    <row r="11">
      <c r="A11" s="11" t="inlineStr">
        <is>
          <t>Monthly savings</t>
        </is>
      </c>
      <c r="B11" s="13">
        <f>B9-B10</f>
        <v/>
      </c>
      <c r="C11" s="13">
        <f>C9-C10</f>
        <v/>
      </c>
      <c r="D11" s="13">
        <f>D9-D10</f>
        <v/>
      </c>
      <c r="E11" s="13">
        <f>E9-E10</f>
        <v/>
      </c>
      <c r="F11" s="13">
        <f>F9-F10</f>
        <v/>
      </c>
      <c r="G11" s="13">
        <f>G9-G10</f>
        <v/>
      </c>
      <c r="H11" s="13">
        <f>H9-H10</f>
        <v/>
      </c>
      <c r="I11" s="13">
        <f>I9-I10</f>
        <v/>
      </c>
      <c r="J11" s="13">
        <f>J9-J10</f>
        <v/>
      </c>
      <c r="K11" s="13">
        <f>K9-K10</f>
        <v/>
      </c>
      <c r="L11" s="13">
        <f>L9-L10</f>
        <v/>
      </c>
      <c r="M11" s="13">
        <f>M9-M10</f>
        <v/>
      </c>
      <c r="N11" s="13">
        <f>SUM(B11:M11)</f>
        <v/>
      </c>
    </row>
    <row r="12">
      <c r="A12" s="10" t="inlineStr">
        <is>
          <t>Cumulative savings</t>
        </is>
      </c>
      <c r="B12" s="15">
        <f>B11</f>
        <v/>
      </c>
      <c r="C12" s="15">
        <f>B12+C11</f>
        <v/>
      </c>
      <c r="D12" s="15">
        <f>C12+D11</f>
        <v/>
      </c>
      <c r="E12" s="15">
        <f>D12+E11</f>
        <v/>
      </c>
      <c r="F12" s="15">
        <f>E12+F11</f>
        <v/>
      </c>
      <c r="G12" s="15">
        <f>F12+G11</f>
        <v/>
      </c>
      <c r="H12" s="15">
        <f>G12+H11</f>
        <v/>
      </c>
      <c r="I12" s="15">
        <f>H12+I11</f>
        <v/>
      </c>
      <c r="J12" s="15">
        <f>I12+J11</f>
        <v/>
      </c>
      <c r="K12" s="15">
        <f>J12+K11</f>
        <v/>
      </c>
      <c r="L12" s="15">
        <f>K12+L11</f>
        <v/>
      </c>
      <c r="M12" s="15">
        <f>L12+M11</f>
        <v/>
      </c>
      <c r="N12" s="15" t="n"/>
    </row>
    <row r="14">
      <c r="A14" s="17" t="inlineStr">
        <is>
          <t>Payback summary</t>
        </is>
      </c>
    </row>
    <row r="15">
      <c r="A15" s="10" t="inlineStr">
        <is>
          <t xml:space="preserve">    Net capital cost</t>
        </is>
      </c>
      <c r="B15" s="15">
        <f>N7</f>
        <v/>
      </c>
    </row>
    <row r="16">
      <c r="A16" s="10" t="inlineStr">
        <is>
          <t xml:space="preserve">    Avg monthly savings</t>
        </is>
      </c>
      <c r="B16" s="15">
        <f>IFERROR(AVERAGEIF(B11:M11,"&lt;&gt;0"),0)</f>
        <v/>
      </c>
    </row>
    <row r="17">
      <c r="A17" s="10" t="inlineStr">
        <is>
          <t xml:space="preserve">    Projected annual savings</t>
        </is>
      </c>
      <c r="B17" s="15">
        <f>B16*12</f>
        <v/>
      </c>
    </row>
    <row r="18">
      <c r="A18" s="10" t="inlineStr">
        <is>
          <t xml:space="preserve">    Payback period (years)</t>
        </is>
      </c>
      <c r="B18" s="18">
        <f>IFERROR(B15/B17,"-")</f>
        <v/>
      </c>
    </row>
    <row r="19">
      <c r="A19" s="10" t="inlineStr">
        <is>
          <t xml:space="preserve">    % paid back</t>
        </is>
      </c>
      <c r="B19" s="19">
        <f>IFERROR(N12/B15,0)</f>
        <v/>
      </c>
    </row>
    <row r="21" ht="15.75" customHeight="1" s="39">
      <c r="A21" s="41" t="inlineStr">
        <is>
          <t>⚠ To make payback compute: (1) enter pre-solar baseline monthly bills in row 9 (orange). (2) Enter incentives in row 6 — NOTE: the 30% federal solar credit (25D) ended for systems placed in service after 12/31/2025 (OBBB, 7/4/2025); if yours went live in 2026 the federal credit is $0. MA still gives a 15% state credit up to $1,000. Full reinvestment model on the 'Solar Reinvestment' tab →</t>
        </is>
      </c>
    </row>
    <row r="22" ht="15.75" customHeight="1" s="39"/>
    <row r="23" ht="15.75" customHeight="1" s="39"/>
    <row r="24" ht="15.75" customHeight="1" s="39"/>
    <row r="25" ht="15.75" customHeight="1" s="39"/>
    <row r="26" ht="15.75" customHeight="1" s="39"/>
    <row r="27" ht="15.75" customHeight="1" s="39"/>
    <row r="28" ht="15.75" customHeight="1" s="39"/>
    <row r="29" ht="15.75" customHeight="1" s="39"/>
    <row r="30" ht="15.75" customHeight="1" s="39"/>
    <row r="31" ht="15.75" customHeight="1" s="39"/>
    <row r="32" ht="15.75" customHeight="1" s="39"/>
    <row r="33" ht="15.75" customHeight="1" s="39"/>
    <row r="34" ht="15.75" customHeight="1" s="39"/>
    <row r="35" ht="15.75" customHeight="1" s="39"/>
    <row r="36" ht="15.75" customHeight="1" s="39"/>
    <row r="37" ht="15.75" customHeight="1" s="39"/>
    <row r="38" ht="15.75" customHeight="1" s="39"/>
    <row r="39" ht="15.75" customHeight="1" s="39"/>
    <row r="40" ht="15.75" customHeight="1" s="39"/>
    <row r="41" ht="15.75" customHeight="1" s="39"/>
    <row r="42" ht="15.75" customHeight="1" s="39"/>
    <row r="43" ht="15.75" customHeight="1" s="39"/>
    <row r="44" ht="15.75" customHeight="1" s="39"/>
    <row r="45" ht="15.75" customHeight="1" s="39"/>
    <row r="46" ht="15.75" customHeight="1" s="39"/>
    <row r="47" ht="15.75" customHeight="1" s="39"/>
    <row r="48" ht="15.75" customHeight="1" s="39"/>
    <row r="49" ht="15.75" customHeight="1" s="39"/>
    <row r="50" ht="15.75" customHeight="1" s="39"/>
    <row r="51" ht="15.75" customHeight="1" s="39"/>
    <row r="52" ht="15.75" customHeight="1" s="39"/>
    <row r="53" ht="15.75" customHeight="1" s="39"/>
    <row r="54" ht="15.75" customHeight="1" s="39"/>
    <row r="55" ht="15.75" customHeight="1" s="39"/>
    <row r="56" ht="15.75" customHeight="1" s="39"/>
    <row r="57" ht="15.75" customHeight="1" s="39"/>
    <row r="58" ht="15.75" customHeight="1" s="39"/>
    <row r="59" ht="15.75" customHeight="1" s="39"/>
    <row r="60" ht="15.75" customHeight="1" s="39"/>
    <row r="61" ht="15.75" customHeight="1" s="39"/>
    <row r="62" ht="15.75" customHeight="1" s="39"/>
    <row r="63" ht="15.75" customHeight="1" s="39"/>
    <row r="64" ht="15.75" customHeight="1" s="39"/>
    <row r="65" ht="15.75" customHeight="1" s="39"/>
    <row r="66" ht="15.75" customHeight="1" s="39"/>
    <row r="67" ht="15.75" customHeight="1" s="39"/>
    <row r="68" ht="15.75" customHeight="1" s="39"/>
    <row r="69" ht="15.75" customHeight="1" s="39"/>
    <row r="70" ht="15.75" customHeight="1" s="39"/>
    <row r="71" ht="15.75" customHeight="1" s="39"/>
    <row r="72" ht="15.75" customHeight="1" s="39"/>
    <row r="73" ht="15.75" customHeight="1" s="39"/>
    <row r="74" ht="15.75" customHeight="1" s="39"/>
    <row r="75" ht="15.75" customHeight="1" s="39"/>
    <row r="76" ht="15.75" customHeight="1" s="39"/>
    <row r="77" ht="15.75" customHeight="1" s="39"/>
    <row r="78" ht="15.75" customHeight="1" s="39"/>
    <row r="79" ht="15.75" customHeight="1" s="39"/>
    <row r="80" ht="15.75" customHeight="1" s="39"/>
    <row r="81" ht="15.75" customHeight="1" s="39"/>
    <row r="82" ht="15.75" customHeight="1" s="39"/>
    <row r="83" ht="15.75" customHeight="1" s="39"/>
    <row r="84" ht="15.75" customHeight="1" s="39"/>
    <row r="85" ht="15.75" customHeight="1" s="39"/>
    <row r="86" ht="15.75" customHeight="1" s="39"/>
    <row r="87" ht="15.75" customHeight="1" s="39"/>
    <row r="88" ht="15.75" customHeight="1" s="39"/>
    <row r="89" ht="15.75" customHeight="1" s="39"/>
    <row r="90" ht="15.75" customHeight="1" s="39"/>
    <row r="91" ht="15.75" customHeight="1" s="39"/>
    <row r="92" ht="15.75" customHeight="1" s="39"/>
    <row r="93" ht="15.75" customHeight="1" s="39"/>
    <row r="94" ht="15.75" customHeight="1" s="39"/>
    <row r="95" ht="15.75" customHeight="1" s="39"/>
    <row r="96" ht="15.75" customHeight="1" s="39"/>
    <row r="97" ht="15.75" customHeight="1" s="39"/>
    <row r="98" ht="15.75" customHeight="1" s="39"/>
    <row r="99" ht="15.75" customHeight="1" s="39"/>
    <row r="100" ht="15.75" customHeight="1" s="39"/>
    <row r="101" ht="15.75" customHeight="1" s="39"/>
    <row r="102" ht="15.75" customHeight="1" s="39"/>
    <row r="103" ht="15.75" customHeight="1" s="39"/>
    <row r="104" ht="15.75" customHeight="1" s="39"/>
    <row r="105" ht="15.75" customHeight="1" s="39"/>
    <row r="106" ht="15.75" customHeight="1" s="39"/>
    <row r="107" ht="15.75" customHeight="1" s="39"/>
    <row r="108" ht="15.75" customHeight="1" s="39"/>
    <row r="109" ht="15.75" customHeight="1" s="39"/>
    <row r="110" ht="15.75" customHeight="1" s="39"/>
    <row r="111" ht="15.75" customHeight="1" s="39"/>
    <row r="112" ht="15.75" customHeight="1" s="39"/>
    <row r="113" ht="15.75" customHeight="1" s="39"/>
    <row r="114" ht="15.75" customHeight="1" s="39"/>
    <row r="115" ht="15.75" customHeight="1" s="39"/>
    <row r="116" ht="15.75" customHeight="1" s="39"/>
    <row r="117" ht="15.75" customHeight="1" s="39"/>
    <row r="118" ht="15.75" customHeight="1" s="39"/>
    <row r="119" ht="15.75" customHeight="1" s="39"/>
    <row r="120" ht="15.75" customHeight="1" s="39"/>
    <row r="121" ht="15.75" customHeight="1" s="39"/>
    <row r="122" ht="15.75" customHeight="1" s="39"/>
    <row r="123" ht="15.75" customHeight="1" s="39"/>
    <row r="124" ht="15.75" customHeight="1" s="39"/>
    <row r="125" ht="15.75" customHeight="1" s="39"/>
    <row r="126" ht="15.75" customHeight="1" s="39"/>
    <row r="127" ht="15.75" customHeight="1" s="39"/>
    <row r="128" ht="15.75" customHeight="1" s="39"/>
    <row r="129" ht="15.75" customHeight="1" s="39"/>
    <row r="130" ht="15.75" customHeight="1" s="39"/>
    <row r="131" ht="15.75" customHeight="1" s="39"/>
    <row r="132" ht="15.75" customHeight="1" s="39"/>
    <row r="133" ht="15.75" customHeight="1" s="39"/>
    <row r="134" ht="15.75" customHeight="1" s="39"/>
    <row r="135" ht="15.75" customHeight="1" s="39"/>
    <row r="136" ht="15.75" customHeight="1" s="39"/>
    <row r="137" ht="15.75" customHeight="1" s="39"/>
    <row r="138" ht="15.75" customHeight="1" s="39"/>
    <row r="139" ht="15.75" customHeight="1" s="39"/>
    <row r="140" ht="15.75" customHeight="1" s="39"/>
    <row r="141" ht="15.75" customHeight="1" s="39"/>
    <row r="142" ht="15.75" customHeight="1" s="39"/>
    <row r="143" ht="15.75" customHeight="1" s="39"/>
    <row r="144" ht="15.75" customHeight="1" s="39"/>
    <row r="145" ht="15.75" customHeight="1" s="39"/>
    <row r="146" ht="15.75" customHeight="1" s="39"/>
    <row r="147" ht="15.75" customHeight="1" s="39"/>
    <row r="148" ht="15.75" customHeight="1" s="39"/>
    <row r="149" ht="15.75" customHeight="1" s="39"/>
    <row r="150" ht="15.75" customHeight="1" s="39"/>
    <row r="151" ht="15.75" customHeight="1" s="39"/>
    <row r="152" ht="15.75" customHeight="1" s="39"/>
    <row r="153" ht="15.75" customHeight="1" s="39"/>
    <row r="154" ht="15.75" customHeight="1" s="39"/>
    <row r="155" ht="15.75" customHeight="1" s="39"/>
    <row r="156" ht="15.75" customHeight="1" s="39"/>
    <row r="157" ht="15.75" customHeight="1" s="39"/>
    <row r="158" ht="15.75" customHeight="1" s="39"/>
    <row r="159" ht="15.75" customHeight="1" s="39"/>
    <row r="160" ht="15.75" customHeight="1" s="39"/>
    <row r="161" ht="15.75" customHeight="1" s="39"/>
    <row r="162" ht="15.75" customHeight="1" s="39"/>
    <row r="163" ht="15.75" customHeight="1" s="39"/>
    <row r="164" ht="15.75" customHeight="1" s="39"/>
    <row r="165" ht="15.75" customHeight="1" s="39"/>
    <row r="166" ht="15.75" customHeight="1" s="39"/>
    <row r="167" ht="15.75" customHeight="1" s="39"/>
    <row r="168" ht="15.75" customHeight="1" s="39"/>
    <row r="169" ht="15.75" customHeight="1" s="39"/>
    <row r="170" ht="15.75" customHeight="1" s="39"/>
    <row r="171" ht="15.75" customHeight="1" s="39"/>
    <row r="172" ht="15.75" customHeight="1" s="39"/>
    <row r="173" ht="15.75" customHeight="1" s="39"/>
    <row r="174" ht="15.75" customHeight="1" s="39"/>
    <row r="175" ht="15.75" customHeight="1" s="39"/>
    <row r="176" ht="15.75" customHeight="1" s="39"/>
    <row r="177" ht="15.75" customHeight="1" s="39"/>
    <row r="178" ht="15.75" customHeight="1" s="39"/>
    <row r="179" ht="15.75" customHeight="1" s="39"/>
    <row r="180" ht="15.75" customHeight="1" s="39"/>
    <row r="181" ht="15.75" customHeight="1" s="39"/>
    <row r="182" ht="15.75" customHeight="1" s="39"/>
    <row r="183" ht="15.75" customHeight="1" s="39"/>
    <row r="184" ht="15.75" customHeight="1" s="39"/>
    <row r="185" ht="15.75" customHeight="1" s="39"/>
    <row r="186" ht="15.75" customHeight="1" s="39"/>
    <row r="187" ht="15.75" customHeight="1" s="39"/>
    <row r="188" ht="15.75" customHeight="1" s="39"/>
    <row r="189" ht="15.75" customHeight="1" s="39"/>
    <row r="190" ht="15.75" customHeight="1" s="39"/>
    <row r="191" ht="15.75" customHeight="1" s="39"/>
    <row r="192" ht="15.75" customHeight="1" s="39"/>
    <row r="193" ht="15.75" customHeight="1" s="39"/>
    <row r="194" ht="15.75" customHeight="1" s="39"/>
    <row r="195" ht="15.75" customHeight="1" s="39"/>
    <row r="196" ht="15.75" customHeight="1" s="39"/>
    <row r="197" ht="15.75" customHeight="1" s="39"/>
    <row r="198" ht="15.75" customHeight="1" s="39"/>
    <row r="199" ht="15.75" customHeight="1" s="39"/>
    <row r="200" ht="15.75" customHeight="1" s="39"/>
    <row r="201" ht="15.75" customHeight="1" s="39"/>
    <row r="202" ht="15.75" customHeight="1" s="39"/>
    <row r="203" ht="15.75" customHeight="1" s="39"/>
    <row r="204" ht="15.75" customHeight="1" s="39"/>
    <row r="205" ht="15.75" customHeight="1" s="39"/>
    <row r="206" ht="15.75" customHeight="1" s="39"/>
    <row r="207" ht="15.75" customHeight="1" s="39"/>
    <row r="208" ht="15.75" customHeight="1" s="39"/>
    <row r="209" ht="15.75" customHeight="1" s="39"/>
    <row r="210" ht="15.75" customHeight="1" s="39"/>
    <row r="211" ht="15.75" customHeight="1" s="39"/>
    <row r="212" ht="15.75" customHeight="1" s="39"/>
    <row r="213" ht="15.75" customHeight="1" s="39"/>
    <row r="214" ht="15.75" customHeight="1" s="39"/>
    <row r="215" ht="15.75" customHeight="1" s="39"/>
    <row r="216" ht="15.75" customHeight="1" s="39"/>
    <row r="217" ht="15.75" customHeight="1" s="39"/>
    <row r="218" ht="15.75" customHeight="1" s="39"/>
    <row r="219" ht="15.75" customHeight="1" s="39"/>
    <row r="220" ht="15.75" customHeight="1" s="39"/>
    <row r="221" ht="15.75" customHeight="1" s="39"/>
    <row r="222" ht="15.75" customHeight="1" s="39"/>
    <row r="223" ht="15.75" customHeight="1" s="39"/>
    <row r="224" ht="15.75" customHeight="1" s="39"/>
    <row r="225" ht="15.75" customHeight="1" s="39"/>
    <row r="226" ht="15.75" customHeight="1" s="39"/>
    <row r="227" ht="15.75" customHeight="1" s="39"/>
    <row r="228" ht="15.75" customHeight="1" s="39"/>
    <row r="229" ht="15.75" customHeight="1" s="39"/>
    <row r="230" ht="15.75" customHeight="1" s="39"/>
    <row r="231" ht="15.75" customHeight="1" s="39"/>
    <row r="232" ht="15.75" customHeight="1" s="39"/>
    <row r="233" ht="15.75" customHeight="1" s="39"/>
    <row r="234" ht="15.75" customHeight="1" s="39"/>
    <row r="235" ht="15.75" customHeight="1" s="39"/>
    <row r="236" ht="15.75" customHeight="1" s="39"/>
    <row r="237" ht="15.75" customHeight="1" s="39"/>
    <row r="238" ht="15.75" customHeight="1" s="39"/>
    <row r="239" ht="15.75" customHeight="1" s="39"/>
    <row r="240" ht="15.75" customHeight="1" s="39"/>
    <row r="241" ht="15.75" customHeight="1" s="39"/>
    <row r="242" ht="15.75" customHeight="1" s="39"/>
    <row r="243" ht="15.75" customHeight="1" s="39"/>
    <row r="244" ht="15.75" customHeight="1" s="39"/>
    <row r="245" ht="15.75" customHeight="1" s="39"/>
    <row r="246" ht="15.75" customHeight="1" s="39"/>
    <row r="247" ht="15.75" customHeight="1" s="39"/>
    <row r="248" ht="15.75" customHeight="1" s="39"/>
    <row r="249" ht="15.75" customHeight="1" s="39"/>
    <row r="250" ht="15.75" customHeight="1" s="39"/>
    <row r="251" ht="15.75" customHeight="1" s="39"/>
    <row r="252" ht="15.75" customHeight="1" s="39"/>
    <row r="253" ht="15.75" customHeight="1" s="39"/>
    <row r="254" ht="15.75" customHeight="1" s="39"/>
    <row r="255" ht="15.75" customHeight="1" s="39"/>
    <row r="256" ht="15.75" customHeight="1" s="39"/>
    <row r="257" ht="15.75" customHeight="1" s="39"/>
    <row r="258" ht="15.75" customHeight="1" s="39"/>
    <row r="259" ht="15.75" customHeight="1" s="39"/>
    <row r="260" ht="15.75" customHeight="1" s="39"/>
    <row r="261" ht="15.75" customHeight="1" s="39"/>
    <row r="262" ht="15.75" customHeight="1" s="39"/>
    <row r="263" ht="15.75" customHeight="1" s="39"/>
    <row r="264" ht="15.75" customHeight="1" s="39"/>
    <row r="265" ht="15.75" customHeight="1" s="39"/>
    <row r="266" ht="15.75" customHeight="1" s="39"/>
    <row r="267" ht="15.75" customHeight="1" s="39"/>
    <row r="268" ht="15.75" customHeight="1" s="39"/>
    <row r="269" ht="15.75" customHeight="1" s="39"/>
    <row r="270" ht="15.75" customHeight="1" s="39"/>
    <row r="271" ht="15.75" customHeight="1" s="39"/>
    <row r="272" ht="15.75" customHeight="1" s="39"/>
    <row r="273" ht="15.75" customHeight="1" s="39"/>
    <row r="274" ht="15.75" customHeight="1" s="39"/>
    <row r="275" ht="15.75" customHeight="1" s="39"/>
    <row r="276" ht="15.75" customHeight="1" s="39"/>
    <row r="277" ht="15.75" customHeight="1" s="39"/>
    <row r="278" ht="15.75" customHeight="1" s="39"/>
    <row r="279" ht="15.75" customHeight="1" s="39"/>
    <row r="280" ht="15.75" customHeight="1" s="39"/>
    <row r="281" ht="15.75" customHeight="1" s="39"/>
    <row r="282" ht="15.75" customHeight="1" s="39"/>
    <row r="283" ht="15.75" customHeight="1" s="39"/>
    <row r="284" ht="15.75" customHeight="1" s="39"/>
    <row r="285" ht="15.75" customHeight="1" s="39"/>
    <row r="286" ht="15.75" customHeight="1" s="39"/>
    <row r="287" ht="15.75" customHeight="1" s="39"/>
    <row r="288" ht="15.75" customHeight="1" s="39"/>
    <row r="289" ht="15.75" customHeight="1" s="39"/>
    <row r="290" ht="15.75" customHeight="1" s="39"/>
    <row r="291" ht="15.75" customHeight="1" s="39"/>
    <row r="292" ht="15.75" customHeight="1" s="39"/>
    <row r="293" ht="15.75" customHeight="1" s="39"/>
    <row r="294" ht="15.75" customHeight="1" s="39"/>
    <row r="295" ht="15.75" customHeight="1" s="39"/>
    <row r="296" ht="15.75" customHeight="1" s="39"/>
    <row r="297" ht="15.75" customHeight="1" s="39"/>
    <row r="298" ht="15.75" customHeight="1" s="39"/>
    <row r="299" ht="15.75" customHeight="1" s="39"/>
    <row r="300" ht="15.75" customHeight="1" s="39"/>
    <row r="301" ht="15.75" customHeight="1" s="39"/>
    <row r="302" ht="15.75" customHeight="1" s="39"/>
    <row r="303" ht="15.75" customHeight="1" s="39"/>
    <row r="304" ht="15.75" customHeight="1" s="39"/>
    <row r="305" ht="15.75" customHeight="1" s="39"/>
    <row r="306" ht="15.75" customHeight="1" s="39"/>
    <row r="307" ht="15.75" customHeight="1" s="39"/>
    <row r="308" ht="15.75" customHeight="1" s="39"/>
    <row r="309" ht="15.75" customHeight="1" s="39"/>
    <row r="310" ht="15.75" customHeight="1" s="39"/>
    <row r="311" ht="15.75" customHeight="1" s="39"/>
    <row r="312" ht="15.75" customHeight="1" s="39"/>
    <row r="313" ht="15.75" customHeight="1" s="39"/>
    <row r="314" ht="15.75" customHeight="1" s="39"/>
    <row r="315" ht="15.75" customHeight="1" s="39"/>
    <row r="316" ht="15.75" customHeight="1" s="39"/>
    <row r="317" ht="15.75" customHeight="1" s="39"/>
    <row r="318" ht="15.75" customHeight="1" s="39"/>
    <row r="319" ht="15.75" customHeight="1" s="39"/>
    <row r="320" ht="15.75" customHeight="1" s="39"/>
    <row r="321" ht="15.75" customHeight="1" s="39"/>
    <row r="322" ht="15.75" customHeight="1" s="39"/>
    <row r="323" ht="15.75" customHeight="1" s="39"/>
    <row r="324" ht="15.75" customHeight="1" s="39"/>
    <row r="325" ht="15.75" customHeight="1" s="39"/>
    <row r="326" ht="15.75" customHeight="1" s="39"/>
    <row r="327" ht="15.75" customHeight="1" s="39"/>
    <row r="328" ht="15.75" customHeight="1" s="39"/>
    <row r="329" ht="15.75" customHeight="1" s="39"/>
    <row r="330" ht="15.75" customHeight="1" s="39"/>
    <row r="331" ht="15.75" customHeight="1" s="39"/>
    <row r="332" ht="15.75" customHeight="1" s="39"/>
    <row r="333" ht="15.75" customHeight="1" s="39"/>
    <row r="334" ht="15.75" customHeight="1" s="39"/>
    <row r="335" ht="15.75" customHeight="1" s="39"/>
    <row r="336" ht="15.75" customHeight="1" s="39"/>
    <row r="337" ht="15.75" customHeight="1" s="39"/>
    <row r="338" ht="15.75" customHeight="1" s="39"/>
    <row r="339" ht="15.75" customHeight="1" s="39"/>
    <row r="340" ht="15.75" customHeight="1" s="39"/>
    <row r="341" ht="15.75" customHeight="1" s="39"/>
    <row r="342" ht="15.75" customHeight="1" s="39"/>
    <row r="343" ht="15.75" customHeight="1" s="39"/>
    <row r="344" ht="15.75" customHeight="1" s="39"/>
    <row r="345" ht="15.75" customHeight="1" s="39"/>
    <row r="346" ht="15.75" customHeight="1" s="39"/>
    <row r="347" ht="15.75" customHeight="1" s="39"/>
    <row r="348" ht="15.75" customHeight="1" s="39"/>
    <row r="349" ht="15.75" customHeight="1" s="39"/>
    <row r="350" ht="15.75" customHeight="1" s="39"/>
    <row r="351" ht="15.75" customHeight="1" s="39"/>
    <row r="352" ht="15.75" customHeight="1" s="39"/>
    <row r="353" ht="15.75" customHeight="1" s="39"/>
    <row r="354" ht="15.75" customHeight="1" s="39"/>
    <row r="355" ht="15.75" customHeight="1" s="39"/>
    <row r="356" ht="15.75" customHeight="1" s="39"/>
    <row r="357" ht="15.75" customHeight="1" s="39"/>
    <row r="358" ht="15.75" customHeight="1" s="39"/>
    <row r="359" ht="15.75" customHeight="1" s="39"/>
    <row r="360" ht="15.75" customHeight="1" s="39"/>
    <row r="361" ht="15.75" customHeight="1" s="39"/>
    <row r="362" ht="15.75" customHeight="1" s="39"/>
    <row r="363" ht="15.75" customHeight="1" s="39"/>
    <row r="364" ht="15.75" customHeight="1" s="39"/>
    <row r="365" ht="15.75" customHeight="1" s="39"/>
    <row r="366" ht="15.75" customHeight="1" s="39"/>
    <row r="367" ht="15.75" customHeight="1" s="39"/>
    <row r="368" ht="15.75" customHeight="1" s="39"/>
    <row r="369" ht="15.75" customHeight="1" s="39"/>
    <row r="370" ht="15.75" customHeight="1" s="39"/>
    <row r="371" ht="15.75" customHeight="1" s="39"/>
    <row r="372" ht="15.75" customHeight="1" s="39"/>
    <row r="373" ht="15.75" customHeight="1" s="39"/>
    <row r="374" ht="15.75" customHeight="1" s="39"/>
    <row r="375" ht="15.75" customHeight="1" s="39"/>
    <row r="376" ht="15.75" customHeight="1" s="39"/>
    <row r="377" ht="15.75" customHeight="1" s="39"/>
    <row r="378" ht="15.75" customHeight="1" s="39"/>
    <row r="379" ht="15.75" customHeight="1" s="39"/>
    <row r="380" ht="15.75" customHeight="1" s="39"/>
    <row r="381" ht="15.75" customHeight="1" s="39"/>
    <row r="382" ht="15.75" customHeight="1" s="39"/>
    <row r="383" ht="15.75" customHeight="1" s="39"/>
    <row r="384" ht="15.75" customHeight="1" s="39"/>
    <row r="385" ht="15.75" customHeight="1" s="39"/>
    <row r="386" ht="15.75" customHeight="1" s="39"/>
    <row r="387" ht="15.75" customHeight="1" s="39"/>
    <row r="388" ht="15.75" customHeight="1" s="39"/>
    <row r="389" ht="15.75" customHeight="1" s="39"/>
    <row r="390" ht="15.75" customHeight="1" s="39"/>
    <row r="391" ht="15.75" customHeight="1" s="39"/>
    <row r="392" ht="15.75" customHeight="1" s="39"/>
    <row r="393" ht="15.75" customHeight="1" s="39"/>
    <row r="394" ht="15.75" customHeight="1" s="39"/>
    <row r="395" ht="15.75" customHeight="1" s="39"/>
    <row r="396" ht="15.75" customHeight="1" s="39"/>
    <row r="397" ht="15.75" customHeight="1" s="39"/>
    <row r="398" ht="15.75" customHeight="1" s="39"/>
    <row r="399" ht="15.75" customHeight="1" s="39"/>
    <row r="400" ht="15.75" customHeight="1" s="39"/>
    <row r="401" ht="15.75" customHeight="1" s="39"/>
    <row r="402" ht="15.75" customHeight="1" s="39"/>
    <row r="403" ht="15.75" customHeight="1" s="39"/>
    <row r="404" ht="15.75" customHeight="1" s="39"/>
    <row r="405" ht="15.75" customHeight="1" s="39"/>
    <row r="406" ht="15.75" customHeight="1" s="39"/>
    <row r="407" ht="15.75" customHeight="1" s="39"/>
    <row r="408" ht="15.75" customHeight="1" s="39"/>
    <row r="409" ht="15.75" customHeight="1" s="39"/>
    <row r="410" ht="15.75" customHeight="1" s="39"/>
    <row r="411" ht="15.75" customHeight="1" s="39"/>
    <row r="412" ht="15.75" customHeight="1" s="39"/>
    <row r="413" ht="15.75" customHeight="1" s="39"/>
    <row r="414" ht="15.75" customHeight="1" s="39"/>
    <row r="415" ht="15.75" customHeight="1" s="39"/>
    <row r="416" ht="15.75" customHeight="1" s="39"/>
    <row r="417" ht="15.75" customHeight="1" s="39"/>
    <row r="418" ht="15.75" customHeight="1" s="39"/>
    <row r="419" ht="15.75" customHeight="1" s="39"/>
    <row r="420" ht="15.75" customHeight="1" s="39"/>
    <row r="421" ht="15.75" customHeight="1" s="39"/>
    <row r="422" ht="15.75" customHeight="1" s="39"/>
    <row r="423" ht="15.75" customHeight="1" s="39"/>
    <row r="424" ht="15.75" customHeight="1" s="39"/>
    <row r="425" ht="15.75" customHeight="1" s="39"/>
    <row r="426" ht="15.75" customHeight="1" s="39"/>
    <row r="427" ht="15.75" customHeight="1" s="39"/>
    <row r="428" ht="15.75" customHeight="1" s="39"/>
    <row r="429" ht="15.75" customHeight="1" s="39"/>
    <row r="430" ht="15.75" customHeight="1" s="39"/>
    <row r="431" ht="15.75" customHeight="1" s="39"/>
    <row r="432" ht="15.75" customHeight="1" s="39"/>
    <row r="433" ht="15.75" customHeight="1" s="39"/>
    <row r="434" ht="15.75" customHeight="1" s="39"/>
    <row r="435" ht="15.75" customHeight="1" s="39"/>
    <row r="436" ht="15.75" customHeight="1" s="39"/>
    <row r="437" ht="15.75" customHeight="1" s="39"/>
    <row r="438" ht="15.75" customHeight="1" s="39"/>
    <row r="439" ht="15.75" customHeight="1" s="39"/>
    <row r="440" ht="15.75" customHeight="1" s="39"/>
    <row r="441" ht="15.75" customHeight="1" s="39"/>
    <row r="442" ht="15.75" customHeight="1" s="39"/>
    <row r="443" ht="15.75" customHeight="1" s="39"/>
    <row r="444" ht="15.75" customHeight="1" s="39"/>
    <row r="445" ht="15.75" customHeight="1" s="39"/>
    <row r="446" ht="15.75" customHeight="1" s="39"/>
    <row r="447" ht="15.75" customHeight="1" s="39"/>
    <row r="448" ht="15.75" customHeight="1" s="39"/>
    <row r="449" ht="15.75" customHeight="1" s="39"/>
    <row r="450" ht="15.75" customHeight="1" s="39"/>
    <row r="451" ht="15.75" customHeight="1" s="39"/>
    <row r="452" ht="15.75" customHeight="1" s="39"/>
    <row r="453" ht="15.75" customHeight="1" s="39"/>
    <row r="454" ht="15.75" customHeight="1" s="39"/>
    <row r="455" ht="15.75" customHeight="1" s="39"/>
    <row r="456" ht="15.75" customHeight="1" s="39"/>
    <row r="457" ht="15.75" customHeight="1" s="39"/>
    <row r="458" ht="15.75" customHeight="1" s="39"/>
    <row r="459" ht="15.75" customHeight="1" s="39"/>
    <row r="460" ht="15.75" customHeight="1" s="39"/>
    <row r="461" ht="15.75" customHeight="1" s="39"/>
    <row r="462" ht="15.75" customHeight="1" s="39"/>
    <row r="463" ht="15.75" customHeight="1" s="39"/>
    <row r="464" ht="15.75" customHeight="1" s="39"/>
    <row r="465" ht="15.75" customHeight="1" s="39"/>
    <row r="466" ht="15.75" customHeight="1" s="39"/>
    <row r="467" ht="15.75" customHeight="1" s="39"/>
    <row r="468" ht="15.75" customHeight="1" s="39"/>
    <row r="469" ht="15.75" customHeight="1" s="39"/>
    <row r="470" ht="15.75" customHeight="1" s="39"/>
    <row r="471" ht="15.75" customHeight="1" s="39"/>
    <row r="472" ht="15.75" customHeight="1" s="39"/>
    <row r="473" ht="15.75" customHeight="1" s="39"/>
    <row r="474" ht="15.75" customHeight="1" s="39"/>
    <row r="475" ht="15.75" customHeight="1" s="39"/>
    <row r="476" ht="15.75" customHeight="1" s="39"/>
    <row r="477" ht="15.75" customHeight="1" s="39"/>
    <row r="478" ht="15.75" customHeight="1" s="39"/>
    <row r="479" ht="15.75" customHeight="1" s="39"/>
    <row r="480" ht="15.75" customHeight="1" s="39"/>
    <row r="481" ht="15.75" customHeight="1" s="39"/>
    <row r="482" ht="15.75" customHeight="1" s="39"/>
    <row r="483" ht="15.75" customHeight="1" s="39"/>
    <row r="484" ht="15.75" customHeight="1" s="39"/>
    <row r="485" ht="15.75" customHeight="1" s="39"/>
    <row r="486" ht="15.75" customHeight="1" s="39"/>
    <row r="487" ht="15.75" customHeight="1" s="39"/>
    <row r="488" ht="15.75" customHeight="1" s="39"/>
    <row r="489" ht="15.75" customHeight="1" s="39"/>
    <row r="490" ht="15.75" customHeight="1" s="39"/>
    <row r="491" ht="15.75" customHeight="1" s="39"/>
    <row r="492" ht="15.75" customHeight="1" s="39"/>
    <row r="493" ht="15.75" customHeight="1" s="39"/>
    <row r="494" ht="15.75" customHeight="1" s="39"/>
    <row r="495" ht="15.75" customHeight="1" s="39"/>
    <row r="496" ht="15.75" customHeight="1" s="39"/>
    <row r="497" ht="15.75" customHeight="1" s="39"/>
    <row r="498" ht="15.75" customHeight="1" s="39"/>
    <row r="499" ht="15.75" customHeight="1" s="39"/>
    <row r="500" ht="15.75" customHeight="1" s="39"/>
    <row r="501" ht="15.75" customHeight="1" s="39"/>
    <row r="502" ht="15.75" customHeight="1" s="39"/>
    <row r="503" ht="15.75" customHeight="1" s="39"/>
    <row r="504" ht="15.75" customHeight="1" s="39"/>
    <row r="505" ht="15.75" customHeight="1" s="39"/>
    <row r="506" ht="15.75" customHeight="1" s="39"/>
    <row r="507" ht="15.75" customHeight="1" s="39"/>
    <row r="508" ht="15.75" customHeight="1" s="39"/>
    <row r="509" ht="15.75" customHeight="1" s="39"/>
    <row r="510" ht="15.75" customHeight="1" s="39"/>
    <row r="511" ht="15.75" customHeight="1" s="39"/>
    <row r="512" ht="15.75" customHeight="1" s="39"/>
    <row r="513" ht="15.75" customHeight="1" s="39"/>
    <row r="514" ht="15.75" customHeight="1" s="39"/>
    <row r="515" ht="15.75" customHeight="1" s="39"/>
    <row r="516" ht="15.75" customHeight="1" s="39"/>
    <row r="517" ht="15.75" customHeight="1" s="39"/>
    <row r="518" ht="15.75" customHeight="1" s="39"/>
    <row r="519" ht="15.75" customHeight="1" s="39"/>
    <row r="520" ht="15.75" customHeight="1" s="39"/>
    <row r="521" ht="15.75" customHeight="1" s="39"/>
    <row r="522" ht="15.75" customHeight="1" s="39"/>
    <row r="523" ht="15.75" customHeight="1" s="39"/>
    <row r="524" ht="15.75" customHeight="1" s="39"/>
    <row r="525" ht="15.75" customHeight="1" s="39"/>
    <row r="526" ht="15.75" customHeight="1" s="39"/>
    <row r="527" ht="15.75" customHeight="1" s="39"/>
    <row r="528" ht="15.75" customHeight="1" s="39"/>
    <row r="529" ht="15.75" customHeight="1" s="39"/>
    <row r="530" ht="15.75" customHeight="1" s="39"/>
    <row r="531" ht="15.75" customHeight="1" s="39"/>
    <row r="532" ht="15.75" customHeight="1" s="39"/>
    <row r="533" ht="15.75" customHeight="1" s="39"/>
    <row r="534" ht="15.75" customHeight="1" s="39"/>
    <row r="535" ht="15.75" customHeight="1" s="39"/>
    <row r="536" ht="15.75" customHeight="1" s="39"/>
    <row r="537" ht="15.75" customHeight="1" s="39"/>
    <row r="538" ht="15.75" customHeight="1" s="39"/>
    <row r="539" ht="15.75" customHeight="1" s="39"/>
    <row r="540" ht="15.75" customHeight="1" s="39"/>
    <row r="541" ht="15.75" customHeight="1" s="39"/>
    <row r="542" ht="15.75" customHeight="1" s="39"/>
    <row r="543" ht="15.75" customHeight="1" s="39"/>
    <row r="544" ht="15.75" customHeight="1" s="39"/>
    <row r="545" ht="15.75" customHeight="1" s="39"/>
    <row r="546" ht="15.75" customHeight="1" s="39"/>
    <row r="547" ht="15.75" customHeight="1" s="39"/>
    <row r="548" ht="15.75" customHeight="1" s="39"/>
    <row r="549" ht="15.75" customHeight="1" s="39"/>
    <row r="550" ht="15.75" customHeight="1" s="39"/>
    <row r="551" ht="15.75" customHeight="1" s="39"/>
    <row r="552" ht="15.75" customHeight="1" s="39"/>
    <row r="553" ht="15.75" customHeight="1" s="39"/>
    <row r="554" ht="15.75" customHeight="1" s="39"/>
    <row r="555" ht="15.75" customHeight="1" s="39"/>
    <row r="556" ht="15.75" customHeight="1" s="39"/>
    <row r="557" ht="15.75" customHeight="1" s="39"/>
    <row r="558" ht="15.75" customHeight="1" s="39"/>
    <row r="559" ht="15.75" customHeight="1" s="39"/>
    <row r="560" ht="15.75" customHeight="1" s="39"/>
    <row r="561" ht="15.75" customHeight="1" s="39"/>
    <row r="562" ht="15.75" customHeight="1" s="39"/>
    <row r="563" ht="15.75" customHeight="1" s="39"/>
    <row r="564" ht="15.75" customHeight="1" s="39"/>
    <row r="565" ht="15.75" customHeight="1" s="39"/>
    <row r="566" ht="15.75" customHeight="1" s="39"/>
    <row r="567" ht="15.75" customHeight="1" s="39"/>
    <row r="568" ht="15.75" customHeight="1" s="39"/>
    <row r="569" ht="15.75" customHeight="1" s="39"/>
    <row r="570" ht="15.75" customHeight="1" s="39"/>
    <row r="571" ht="15.75" customHeight="1" s="39"/>
    <row r="572" ht="15.75" customHeight="1" s="39"/>
    <row r="573" ht="15.75" customHeight="1" s="39"/>
    <row r="574" ht="15.75" customHeight="1" s="39"/>
    <row r="575" ht="15.75" customHeight="1" s="39"/>
    <row r="576" ht="15.75" customHeight="1" s="39"/>
    <row r="577" ht="15.75" customHeight="1" s="39"/>
    <row r="578" ht="15.75" customHeight="1" s="39"/>
    <row r="579" ht="15.75" customHeight="1" s="39"/>
    <row r="580" ht="15.75" customHeight="1" s="39"/>
    <row r="581" ht="15.75" customHeight="1" s="39"/>
    <row r="582" ht="15.75" customHeight="1" s="39"/>
    <row r="583" ht="15.75" customHeight="1" s="39"/>
    <row r="584" ht="15.75" customHeight="1" s="39"/>
    <row r="585" ht="15.75" customHeight="1" s="39"/>
    <row r="586" ht="15.75" customHeight="1" s="39"/>
    <row r="587" ht="15.75" customHeight="1" s="39"/>
    <row r="588" ht="15.75" customHeight="1" s="39"/>
    <row r="589" ht="15.75" customHeight="1" s="39"/>
    <row r="590" ht="15.75" customHeight="1" s="39"/>
    <row r="591" ht="15.75" customHeight="1" s="39"/>
    <row r="592" ht="15.75" customHeight="1" s="39"/>
    <row r="593" ht="15.75" customHeight="1" s="39"/>
    <row r="594" ht="15.75" customHeight="1" s="39"/>
    <row r="595" ht="15.75" customHeight="1" s="39"/>
    <row r="596" ht="15.75" customHeight="1" s="39"/>
    <row r="597" ht="15.75" customHeight="1" s="39"/>
    <row r="598" ht="15.75" customHeight="1" s="39"/>
    <row r="599" ht="15.75" customHeight="1" s="39"/>
    <row r="600" ht="15.75" customHeight="1" s="39"/>
    <row r="601" ht="15.75" customHeight="1" s="39"/>
    <row r="602" ht="15.75" customHeight="1" s="39"/>
    <row r="603" ht="15.75" customHeight="1" s="39"/>
    <row r="604" ht="15.75" customHeight="1" s="39"/>
    <row r="605" ht="15.75" customHeight="1" s="39"/>
    <row r="606" ht="15.75" customHeight="1" s="39"/>
    <row r="607" ht="15.75" customHeight="1" s="39"/>
    <row r="608" ht="15.75" customHeight="1" s="39"/>
    <row r="609" ht="15.75" customHeight="1" s="39"/>
    <row r="610" ht="15.75" customHeight="1" s="39"/>
    <row r="611" ht="15.75" customHeight="1" s="39"/>
    <row r="612" ht="15.75" customHeight="1" s="39"/>
    <row r="613" ht="15.75" customHeight="1" s="39"/>
    <row r="614" ht="15.75" customHeight="1" s="39"/>
    <row r="615" ht="15.75" customHeight="1" s="39"/>
    <row r="616" ht="15.75" customHeight="1" s="39"/>
    <row r="617" ht="15.75" customHeight="1" s="39"/>
    <row r="618" ht="15.75" customHeight="1" s="39"/>
    <row r="619" ht="15.75" customHeight="1" s="39"/>
    <row r="620" ht="15.75" customHeight="1" s="39"/>
    <row r="621" ht="15.75" customHeight="1" s="39"/>
    <row r="622" ht="15.75" customHeight="1" s="39"/>
    <row r="623" ht="15.75" customHeight="1" s="39"/>
    <row r="624" ht="15.75" customHeight="1" s="39"/>
    <row r="625" ht="15.75" customHeight="1" s="39"/>
    <row r="626" ht="15.75" customHeight="1" s="39"/>
    <row r="627" ht="15.75" customHeight="1" s="39"/>
    <row r="628" ht="15.75" customHeight="1" s="39"/>
    <row r="629" ht="15.75" customHeight="1" s="39"/>
    <row r="630" ht="15.75" customHeight="1" s="39"/>
    <row r="631" ht="15.75" customHeight="1" s="39"/>
    <row r="632" ht="15.75" customHeight="1" s="39"/>
    <row r="633" ht="15.75" customHeight="1" s="39"/>
    <row r="634" ht="15.75" customHeight="1" s="39"/>
    <row r="635" ht="15.75" customHeight="1" s="39"/>
    <row r="636" ht="15.75" customHeight="1" s="39"/>
    <row r="637" ht="15.75" customHeight="1" s="39"/>
    <row r="638" ht="15.75" customHeight="1" s="39"/>
    <row r="639" ht="15.75" customHeight="1" s="39"/>
    <row r="640" ht="15.75" customHeight="1" s="39"/>
    <row r="641" ht="15.75" customHeight="1" s="39"/>
    <row r="642" ht="15.75" customHeight="1" s="39"/>
    <row r="643" ht="15.75" customHeight="1" s="39"/>
    <row r="644" ht="15.75" customHeight="1" s="39"/>
    <row r="645" ht="15.75" customHeight="1" s="39"/>
    <row r="646" ht="15.75" customHeight="1" s="39"/>
    <row r="647" ht="15.75" customHeight="1" s="39"/>
    <row r="648" ht="15.75" customHeight="1" s="39"/>
    <row r="649" ht="15.75" customHeight="1" s="39"/>
    <row r="650" ht="15.75" customHeight="1" s="39"/>
    <row r="651" ht="15.75" customHeight="1" s="39"/>
    <row r="652" ht="15.75" customHeight="1" s="39"/>
    <row r="653" ht="15.75" customHeight="1" s="39"/>
    <row r="654" ht="15.75" customHeight="1" s="39"/>
    <row r="655" ht="15.75" customHeight="1" s="39"/>
    <row r="656" ht="15.75" customHeight="1" s="39"/>
    <row r="657" ht="15.75" customHeight="1" s="39"/>
    <row r="658" ht="15.75" customHeight="1" s="39"/>
    <row r="659" ht="15.75" customHeight="1" s="39"/>
    <row r="660" ht="15.75" customHeight="1" s="39"/>
    <row r="661" ht="15.75" customHeight="1" s="39"/>
    <row r="662" ht="15.75" customHeight="1" s="39"/>
    <row r="663" ht="15.75" customHeight="1" s="39"/>
    <row r="664" ht="15.75" customHeight="1" s="39"/>
    <row r="665" ht="15.75" customHeight="1" s="39"/>
    <row r="666" ht="15.75" customHeight="1" s="39"/>
    <row r="667" ht="15.75" customHeight="1" s="39"/>
    <row r="668" ht="15.75" customHeight="1" s="39"/>
    <row r="669" ht="15.75" customHeight="1" s="39"/>
    <row r="670" ht="15.75" customHeight="1" s="39"/>
    <row r="671" ht="15.75" customHeight="1" s="39"/>
    <row r="672" ht="15.75" customHeight="1" s="39"/>
    <row r="673" ht="15.75" customHeight="1" s="39"/>
    <row r="674" ht="15.75" customHeight="1" s="39"/>
    <row r="675" ht="15.75" customHeight="1" s="39"/>
    <row r="676" ht="15.75" customHeight="1" s="39"/>
    <row r="677" ht="15.75" customHeight="1" s="39"/>
    <row r="678" ht="15.75" customHeight="1" s="39"/>
    <row r="679" ht="15.75" customHeight="1" s="39"/>
    <row r="680" ht="15.75" customHeight="1" s="39"/>
    <row r="681" ht="15.75" customHeight="1" s="39"/>
    <row r="682" ht="15.75" customHeight="1" s="39"/>
    <row r="683" ht="15.75" customHeight="1" s="39"/>
    <row r="684" ht="15.75" customHeight="1" s="39"/>
    <row r="685" ht="15.75" customHeight="1" s="39"/>
    <row r="686" ht="15.75" customHeight="1" s="39"/>
    <row r="687" ht="15.75" customHeight="1" s="39"/>
    <row r="688" ht="15.75" customHeight="1" s="39"/>
    <row r="689" ht="15.75" customHeight="1" s="39"/>
    <row r="690" ht="15.75" customHeight="1" s="39"/>
    <row r="691" ht="15.75" customHeight="1" s="39"/>
    <row r="692" ht="15.75" customHeight="1" s="39"/>
    <row r="693" ht="15.75" customHeight="1" s="39"/>
    <row r="694" ht="15.75" customHeight="1" s="39"/>
    <row r="695" ht="15.75" customHeight="1" s="39"/>
    <row r="696" ht="15.75" customHeight="1" s="39"/>
    <row r="697" ht="15.75" customHeight="1" s="39"/>
    <row r="698" ht="15.75" customHeight="1" s="39"/>
    <row r="699" ht="15.75" customHeight="1" s="39"/>
    <row r="700" ht="15.75" customHeight="1" s="39"/>
    <row r="701" ht="15.75" customHeight="1" s="39"/>
    <row r="702" ht="15.75" customHeight="1" s="39"/>
    <row r="703" ht="15.75" customHeight="1" s="39"/>
    <row r="704" ht="15.75" customHeight="1" s="39"/>
    <row r="705" ht="15.75" customHeight="1" s="39"/>
    <row r="706" ht="15.75" customHeight="1" s="39"/>
    <row r="707" ht="15.75" customHeight="1" s="39"/>
    <row r="708" ht="15.75" customHeight="1" s="39"/>
    <row r="709" ht="15.75" customHeight="1" s="39"/>
    <row r="710" ht="15.75" customHeight="1" s="39"/>
    <row r="711" ht="15.75" customHeight="1" s="39"/>
    <row r="712" ht="15.75" customHeight="1" s="39"/>
    <row r="713" ht="15.75" customHeight="1" s="39"/>
    <row r="714" ht="15.75" customHeight="1" s="39"/>
    <row r="715" ht="15.75" customHeight="1" s="39"/>
    <row r="716" ht="15.75" customHeight="1" s="39"/>
    <row r="717" ht="15.75" customHeight="1" s="39"/>
    <row r="718" ht="15.75" customHeight="1" s="39"/>
    <row r="719" ht="15.75" customHeight="1" s="39"/>
    <row r="720" ht="15.75" customHeight="1" s="39"/>
    <row r="721" ht="15.75" customHeight="1" s="39"/>
    <row r="722" ht="15.75" customHeight="1" s="39"/>
    <row r="723" ht="15.75" customHeight="1" s="39"/>
    <row r="724" ht="15.75" customHeight="1" s="39"/>
    <row r="725" ht="15.75" customHeight="1" s="39"/>
    <row r="726" ht="15.75" customHeight="1" s="39"/>
    <row r="727" ht="15.75" customHeight="1" s="39"/>
    <row r="728" ht="15.75" customHeight="1" s="39"/>
    <row r="729" ht="15.75" customHeight="1" s="39"/>
    <row r="730" ht="15.75" customHeight="1" s="39"/>
    <row r="731" ht="15.75" customHeight="1" s="39"/>
    <row r="732" ht="15.75" customHeight="1" s="39"/>
    <row r="733" ht="15.75" customHeight="1" s="39"/>
    <row r="734" ht="15.75" customHeight="1" s="39"/>
    <row r="735" ht="15.75" customHeight="1" s="39"/>
    <row r="736" ht="15.75" customHeight="1" s="39"/>
    <row r="737" ht="15.75" customHeight="1" s="39"/>
    <row r="738" ht="15.75" customHeight="1" s="39"/>
    <row r="739" ht="15.75" customHeight="1" s="39"/>
    <row r="740" ht="15.75" customHeight="1" s="39"/>
    <row r="741" ht="15.75" customHeight="1" s="39"/>
    <row r="742" ht="15.75" customHeight="1" s="39"/>
    <row r="743" ht="15.75" customHeight="1" s="39"/>
    <row r="744" ht="15.75" customHeight="1" s="39"/>
    <row r="745" ht="15.75" customHeight="1" s="39"/>
    <row r="746" ht="15.75" customHeight="1" s="39"/>
    <row r="747" ht="15.75" customHeight="1" s="39"/>
    <row r="748" ht="15.75" customHeight="1" s="39"/>
    <row r="749" ht="15.75" customHeight="1" s="39"/>
    <row r="750" ht="15.75" customHeight="1" s="39"/>
    <row r="751" ht="15.75" customHeight="1" s="39"/>
    <row r="752" ht="15.75" customHeight="1" s="39"/>
    <row r="753" ht="15.75" customHeight="1" s="39"/>
    <row r="754" ht="15.75" customHeight="1" s="39"/>
    <row r="755" ht="15.75" customHeight="1" s="39"/>
    <row r="756" ht="15.75" customHeight="1" s="39"/>
    <row r="757" ht="15.75" customHeight="1" s="39"/>
    <row r="758" ht="15.75" customHeight="1" s="39"/>
    <row r="759" ht="15.75" customHeight="1" s="39"/>
    <row r="760" ht="15.75" customHeight="1" s="39"/>
    <row r="761" ht="15.75" customHeight="1" s="39"/>
    <row r="762" ht="15.75" customHeight="1" s="39"/>
    <row r="763" ht="15.75" customHeight="1" s="39"/>
    <row r="764" ht="15.75" customHeight="1" s="39"/>
    <row r="765" ht="15.75" customHeight="1" s="39"/>
    <row r="766" ht="15.75" customHeight="1" s="39"/>
    <row r="767" ht="15.75" customHeight="1" s="39"/>
    <row r="768" ht="15.75" customHeight="1" s="39"/>
    <row r="769" ht="15.75" customHeight="1" s="39"/>
    <row r="770" ht="15.75" customHeight="1" s="39"/>
    <row r="771" ht="15.75" customHeight="1" s="39"/>
    <row r="772" ht="15.75" customHeight="1" s="39"/>
    <row r="773" ht="15.75" customHeight="1" s="39"/>
    <row r="774" ht="15.75" customHeight="1" s="39"/>
    <row r="775" ht="15.75" customHeight="1" s="39"/>
    <row r="776" ht="15.75" customHeight="1" s="39"/>
    <row r="777" ht="15.75" customHeight="1" s="39"/>
    <row r="778" ht="15.75" customHeight="1" s="39"/>
    <row r="779" ht="15.75" customHeight="1" s="39"/>
    <row r="780" ht="15.75" customHeight="1" s="39"/>
    <row r="781" ht="15.75" customHeight="1" s="39"/>
    <row r="782" ht="15.75" customHeight="1" s="39"/>
    <row r="783" ht="15.75" customHeight="1" s="39"/>
    <row r="784" ht="15.75" customHeight="1" s="39"/>
    <row r="785" ht="15.75" customHeight="1" s="39"/>
    <row r="786" ht="15.75" customHeight="1" s="39"/>
    <row r="787" ht="15.75" customHeight="1" s="39"/>
    <row r="788" ht="15.75" customHeight="1" s="39"/>
    <row r="789" ht="15.75" customHeight="1" s="39"/>
    <row r="790" ht="15.75" customHeight="1" s="39"/>
    <row r="791" ht="15.75" customHeight="1" s="39"/>
    <row r="792" ht="15.75" customHeight="1" s="39"/>
    <row r="793" ht="15.75" customHeight="1" s="39"/>
    <row r="794" ht="15.75" customHeight="1" s="39"/>
    <row r="795" ht="15.75" customHeight="1" s="39"/>
    <row r="796" ht="15.75" customHeight="1" s="39"/>
    <row r="797" ht="15.75" customHeight="1" s="39"/>
    <row r="798" ht="15.75" customHeight="1" s="39"/>
    <row r="799" ht="15.75" customHeight="1" s="39"/>
    <row r="800" ht="15.75" customHeight="1" s="39"/>
    <row r="801" ht="15.75" customHeight="1" s="39"/>
    <row r="802" ht="15.75" customHeight="1" s="39"/>
    <row r="803" ht="15.75" customHeight="1" s="39"/>
    <row r="804" ht="15.75" customHeight="1" s="39"/>
    <row r="805" ht="15.75" customHeight="1" s="39"/>
    <row r="806" ht="15.75" customHeight="1" s="39"/>
    <row r="807" ht="15.75" customHeight="1" s="39"/>
    <row r="808" ht="15.75" customHeight="1" s="39"/>
    <row r="809" ht="15.75" customHeight="1" s="39"/>
    <row r="810" ht="15.75" customHeight="1" s="39"/>
    <row r="811" ht="15.75" customHeight="1" s="39"/>
    <row r="812" ht="15.75" customHeight="1" s="39"/>
    <row r="813" ht="15.75" customHeight="1" s="39"/>
    <row r="814" ht="15.75" customHeight="1" s="39"/>
    <row r="815" ht="15.75" customHeight="1" s="39"/>
    <row r="816" ht="15.75" customHeight="1" s="39"/>
    <row r="817" ht="15.75" customHeight="1" s="39"/>
    <row r="818" ht="15.75" customHeight="1" s="39"/>
    <row r="819" ht="15.75" customHeight="1" s="39"/>
    <row r="820" ht="15.75" customHeight="1" s="39"/>
    <row r="821" ht="15.75" customHeight="1" s="39"/>
    <row r="822" ht="15.75" customHeight="1" s="39"/>
    <row r="823" ht="15.75" customHeight="1" s="39"/>
    <row r="824" ht="15.75" customHeight="1" s="39"/>
    <row r="825" ht="15.75" customHeight="1" s="39"/>
    <row r="826" ht="15.75" customHeight="1" s="39"/>
    <row r="827" ht="15.75" customHeight="1" s="39"/>
    <row r="828" ht="15.75" customHeight="1" s="39"/>
    <row r="829" ht="15.75" customHeight="1" s="39"/>
    <row r="830" ht="15.75" customHeight="1" s="39"/>
    <row r="831" ht="15.75" customHeight="1" s="39"/>
    <row r="832" ht="15.75" customHeight="1" s="39"/>
    <row r="833" ht="15.75" customHeight="1" s="39"/>
    <row r="834" ht="15.75" customHeight="1" s="39"/>
    <row r="835" ht="15.75" customHeight="1" s="39"/>
    <row r="836" ht="15.75" customHeight="1" s="39"/>
    <row r="837" ht="15.75" customHeight="1" s="39"/>
    <row r="838" ht="15.75" customHeight="1" s="39"/>
    <row r="839" ht="15.75" customHeight="1" s="39"/>
    <row r="840" ht="15.75" customHeight="1" s="39"/>
    <row r="841" ht="15.75" customHeight="1" s="39"/>
    <row r="842" ht="15.75" customHeight="1" s="39"/>
    <row r="843" ht="15.75" customHeight="1" s="39"/>
    <row r="844" ht="15.75" customHeight="1" s="39"/>
    <row r="845" ht="15.75" customHeight="1" s="39"/>
    <row r="846" ht="15.75" customHeight="1" s="39"/>
    <row r="847" ht="15.75" customHeight="1" s="39"/>
    <row r="848" ht="15.75" customHeight="1" s="39"/>
    <row r="849" ht="15.75" customHeight="1" s="39"/>
    <row r="850" ht="15.75" customHeight="1" s="39"/>
    <row r="851" ht="15.75" customHeight="1" s="39"/>
    <row r="852" ht="15.75" customHeight="1" s="39"/>
    <row r="853" ht="15.75" customHeight="1" s="39"/>
    <row r="854" ht="15.75" customHeight="1" s="39"/>
    <row r="855" ht="15.75" customHeight="1" s="39"/>
    <row r="856" ht="15.75" customHeight="1" s="39"/>
    <row r="857" ht="15.75" customHeight="1" s="39"/>
    <row r="858" ht="15.75" customHeight="1" s="39"/>
    <row r="859" ht="15.75" customHeight="1" s="39"/>
    <row r="860" ht="15.75" customHeight="1" s="39"/>
    <row r="861" ht="15.75" customHeight="1" s="39"/>
    <row r="862" ht="15.75" customHeight="1" s="39"/>
    <row r="863" ht="15.75" customHeight="1" s="39"/>
    <row r="864" ht="15.75" customHeight="1" s="39"/>
    <row r="865" ht="15.75" customHeight="1" s="39"/>
    <row r="866" ht="15.75" customHeight="1" s="39"/>
    <row r="867" ht="15.75" customHeight="1" s="39"/>
    <row r="868" ht="15.75" customHeight="1" s="39"/>
    <row r="869" ht="15.75" customHeight="1" s="39"/>
    <row r="870" ht="15.75" customHeight="1" s="39"/>
    <row r="871" ht="15.75" customHeight="1" s="39"/>
    <row r="872" ht="15.75" customHeight="1" s="39"/>
    <row r="873" ht="15.75" customHeight="1" s="39"/>
    <row r="874" ht="15.75" customHeight="1" s="39"/>
    <row r="875" ht="15.75" customHeight="1" s="39"/>
    <row r="876" ht="15.75" customHeight="1" s="39"/>
    <row r="877" ht="15.75" customHeight="1" s="39"/>
    <row r="878" ht="15.75" customHeight="1" s="39"/>
    <row r="879" ht="15.75" customHeight="1" s="39"/>
    <row r="880" ht="15.75" customHeight="1" s="39"/>
    <row r="881" ht="15.75" customHeight="1" s="39"/>
    <row r="882" ht="15.75" customHeight="1" s="39"/>
    <row r="883" ht="15.75" customHeight="1" s="39"/>
    <row r="884" ht="15.75" customHeight="1" s="39"/>
    <row r="885" ht="15.75" customHeight="1" s="39"/>
    <row r="886" ht="15.75" customHeight="1" s="39"/>
    <row r="887" ht="15.75" customHeight="1" s="39"/>
    <row r="888" ht="15.75" customHeight="1" s="39"/>
    <row r="889" ht="15.75" customHeight="1" s="39"/>
    <row r="890" ht="15.75" customHeight="1" s="39"/>
    <row r="891" ht="15.75" customHeight="1" s="39"/>
    <row r="892" ht="15.75" customHeight="1" s="39"/>
    <row r="893" ht="15.75" customHeight="1" s="39"/>
    <row r="894" ht="15.75" customHeight="1" s="39"/>
    <row r="895" ht="15.75" customHeight="1" s="39"/>
    <row r="896" ht="15.75" customHeight="1" s="39"/>
    <row r="897" ht="15.75" customHeight="1" s="39"/>
    <row r="898" ht="15.75" customHeight="1" s="39"/>
    <row r="899" ht="15.75" customHeight="1" s="39"/>
    <row r="900" ht="15.75" customHeight="1" s="39"/>
    <row r="901" ht="15.75" customHeight="1" s="39"/>
    <row r="902" ht="15.75" customHeight="1" s="39"/>
    <row r="903" ht="15.75" customHeight="1" s="39"/>
    <row r="904" ht="15.75" customHeight="1" s="39"/>
    <row r="905" ht="15.75" customHeight="1" s="39"/>
    <row r="906" ht="15.75" customHeight="1" s="39"/>
    <row r="907" ht="15.75" customHeight="1" s="39"/>
    <row r="908" ht="15.75" customHeight="1" s="39"/>
    <row r="909" ht="15.75" customHeight="1" s="39"/>
    <row r="910" ht="15.75" customHeight="1" s="39"/>
    <row r="911" ht="15.75" customHeight="1" s="39"/>
    <row r="912" ht="15.75" customHeight="1" s="39"/>
    <row r="913" ht="15.75" customHeight="1" s="39"/>
    <row r="914" ht="15.75" customHeight="1" s="39"/>
    <row r="915" ht="15.75" customHeight="1" s="39"/>
    <row r="916" ht="15.75" customHeight="1" s="39"/>
    <row r="917" ht="15.75" customHeight="1" s="39"/>
    <row r="918" ht="15.75" customHeight="1" s="39"/>
    <row r="919" ht="15.75" customHeight="1" s="39"/>
    <row r="920" ht="15.75" customHeight="1" s="39"/>
    <row r="921" ht="15.75" customHeight="1" s="39"/>
    <row r="922" ht="15.75" customHeight="1" s="39"/>
    <row r="923" ht="15.75" customHeight="1" s="39"/>
    <row r="924" ht="15.75" customHeight="1" s="39"/>
    <row r="925" ht="15.75" customHeight="1" s="39"/>
    <row r="926" ht="15.75" customHeight="1" s="39"/>
    <row r="927" ht="15.75" customHeight="1" s="39"/>
    <row r="928" ht="15.75" customHeight="1" s="39"/>
    <row r="929" ht="15.75" customHeight="1" s="39"/>
    <row r="930" ht="15.75" customHeight="1" s="39"/>
    <row r="931" ht="15.75" customHeight="1" s="39"/>
    <row r="932" ht="15.75" customHeight="1" s="39"/>
    <row r="933" ht="15.75" customHeight="1" s="39"/>
    <row r="934" ht="15.75" customHeight="1" s="39"/>
    <row r="935" ht="15.75" customHeight="1" s="39"/>
    <row r="936" ht="15.75" customHeight="1" s="39"/>
    <row r="937" ht="15.75" customHeight="1" s="39"/>
    <row r="938" ht="15.75" customHeight="1" s="39"/>
    <row r="939" ht="15.75" customHeight="1" s="39"/>
    <row r="940" ht="15.75" customHeight="1" s="39"/>
    <row r="941" ht="15.75" customHeight="1" s="39"/>
    <row r="942" ht="15.75" customHeight="1" s="39"/>
    <row r="943" ht="15.75" customHeight="1" s="39"/>
    <row r="944" ht="15.75" customHeight="1" s="39"/>
    <row r="945" ht="15.75" customHeight="1" s="39"/>
    <row r="946" ht="15.75" customHeight="1" s="39"/>
    <row r="947" ht="15.75" customHeight="1" s="39"/>
    <row r="948" ht="15.75" customHeight="1" s="39"/>
    <row r="949" ht="15.75" customHeight="1" s="39"/>
    <row r="950" ht="15.75" customHeight="1" s="39"/>
    <row r="951" ht="15.75" customHeight="1" s="39"/>
    <row r="952" ht="15.75" customHeight="1" s="39"/>
    <row r="953" ht="15.75" customHeight="1" s="39"/>
    <row r="954" ht="15.75" customHeight="1" s="39"/>
    <row r="955" ht="15.75" customHeight="1" s="39"/>
    <row r="956" ht="15.75" customHeight="1" s="39"/>
    <row r="957" ht="15.75" customHeight="1" s="39"/>
    <row r="958" ht="15.75" customHeight="1" s="39"/>
    <row r="959" ht="15.75" customHeight="1" s="39"/>
    <row r="960" ht="15.75" customHeight="1" s="39"/>
    <row r="961" ht="15.75" customHeight="1" s="39"/>
    <row r="962" ht="15.75" customHeight="1" s="39"/>
    <row r="963" ht="15.75" customHeight="1" s="39"/>
    <row r="964" ht="15.75" customHeight="1" s="39"/>
    <row r="965" ht="15.75" customHeight="1" s="39"/>
    <row r="966" ht="15.75" customHeight="1" s="39"/>
    <row r="967" ht="15.75" customHeight="1" s="39"/>
    <row r="968" ht="15.75" customHeight="1" s="39"/>
    <row r="969" ht="15.75" customHeight="1" s="39"/>
    <row r="970" ht="15.75" customHeight="1" s="39"/>
    <row r="971" ht="15.75" customHeight="1" s="39"/>
    <row r="972" ht="15.75" customHeight="1" s="39"/>
    <row r="973" ht="15.75" customHeight="1" s="39"/>
    <row r="974" ht="15.75" customHeight="1" s="39"/>
    <row r="975" ht="15.75" customHeight="1" s="39"/>
    <row r="976" ht="15.75" customHeight="1" s="39"/>
    <row r="977" ht="15.75" customHeight="1" s="39"/>
    <row r="978" ht="15.75" customHeight="1" s="39"/>
    <row r="979" ht="15.75" customHeight="1" s="39"/>
    <row r="980" ht="15.75" customHeight="1" s="39"/>
    <row r="981" ht="15.75" customHeight="1" s="39"/>
    <row r="982" ht="15.75" customHeight="1" s="39"/>
    <row r="983" ht="15.75" customHeight="1" s="39"/>
    <row r="984" ht="15.75" customHeight="1" s="39"/>
    <row r="985" ht="15.75" customHeight="1" s="39"/>
    <row r="986" ht="15.75" customHeight="1" s="39"/>
    <row r="987" ht="15.75" customHeight="1" s="39"/>
    <row r="988" ht="15.75" customHeight="1" s="39"/>
    <row r="989" ht="15.75" customHeight="1" s="39"/>
    <row r="990" ht="15.75" customHeight="1" s="39"/>
    <row r="991" ht="15.75" customHeight="1" s="39"/>
    <row r="992" ht="15.75" customHeight="1" s="39"/>
    <row r="993" ht="15.75" customHeight="1" s="39"/>
    <row r="994" ht="15.75" customHeight="1" s="39"/>
    <row r="995" ht="15.75" customHeight="1" s="39"/>
    <row r="996" ht="15.75" customHeight="1" s="39"/>
    <row r="997" ht="15.75" customHeight="1" s="39"/>
    <row r="998" ht="15.75" customHeight="1" s="39"/>
    <row r="999" ht="15.75" customHeight="1" s="39"/>
    <row r="1000" ht="15.75" customHeight="1" s="39"/>
  </sheetData>
  <mergeCells count="3">
    <mergeCell ref="A21:N23"/>
    <mergeCell ref="A2:N2"/>
    <mergeCell ref="A1:N1"/>
  </mergeCell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N18"/>
  <sheetViews>
    <sheetView workbookViewId="0">
      <selection activeCell="A1" sqref="A1"/>
    </sheetView>
  </sheetViews>
  <sheetFormatPr baseColWidth="8" defaultColWidth="14.43" defaultRowHeight="15" customHeight="1"/>
  <cols>
    <col width="32" customWidth="1" style="39" min="1" max="1"/>
    <col width="11" customWidth="1" style="39" min="2" max="13"/>
    <col width="8.710000000000001" customWidth="1" style="39" min="14" max="26"/>
  </cols>
  <sheetData>
    <row r="1">
      <c r="A1" s="16" t="inlineStr">
        <is>
          <t>Account Balances — month-end snapshots</t>
        </is>
      </c>
    </row>
    <row r="2">
      <c r="A2" s="4" t="inlineStr">
        <is>
          <t>Snapshot at end of each month.</t>
        </is>
      </c>
    </row>
    <row r="4">
      <c r="A4" s="5" t="inlineStr">
        <is>
          <t>Account</t>
        </is>
      </c>
      <c r="B4" s="5" t="inlineStr">
        <is>
          <t>Jan</t>
        </is>
      </c>
      <c r="C4" s="5" t="inlineStr">
        <is>
          <t>Feb</t>
        </is>
      </c>
      <c r="D4" s="5" t="inlineStr">
        <is>
          <t>Mar</t>
        </is>
      </c>
      <c r="E4" s="5" t="inlineStr">
        <is>
          <t>Apr</t>
        </is>
      </c>
      <c r="F4" s="5" t="inlineStr">
        <is>
          <t>May</t>
        </is>
      </c>
      <c r="G4" s="5" t="inlineStr">
        <is>
          <t>Jun</t>
        </is>
      </c>
      <c r="H4" s="5" t="inlineStr">
        <is>
          <t>Jul</t>
        </is>
      </c>
      <c r="I4" s="5" t="inlineStr">
        <is>
          <t>Aug</t>
        </is>
      </c>
      <c r="J4" s="5" t="inlineStr">
        <is>
          <t>Sep</t>
        </is>
      </c>
      <c r="K4" s="5" t="inlineStr">
        <is>
          <t>Oct</t>
        </is>
      </c>
      <c r="L4" s="5" t="inlineStr">
        <is>
          <t>Nov</t>
        </is>
      </c>
      <c r="M4" s="5" t="inlineStr">
        <is>
          <t>Dec</t>
        </is>
      </c>
    </row>
    <row r="5">
      <c r="A5" s="10" t="inlineStr">
        <is>
          <t>Capital One Checking (7912)</t>
        </is>
      </c>
      <c r="B5" s="8" t="n"/>
      <c r="C5" s="8" t="n"/>
      <c r="D5" s="8" t="n"/>
      <c r="E5" s="8" t="n"/>
      <c r="F5" s="8" t="n"/>
      <c r="G5" s="8" t="n"/>
      <c r="H5" s="8" t="n"/>
      <c r="I5" s="8" t="n"/>
      <c r="J5" s="8" t="n"/>
      <c r="K5" s="8" t="n"/>
      <c r="L5" s="8" t="n"/>
      <c r="M5" s="8" t="n"/>
    </row>
    <row r="6">
      <c r="A6" s="10" t="inlineStr">
        <is>
          <t>Capital One Savings (8940)</t>
        </is>
      </c>
      <c r="B6" s="8" t="n"/>
      <c r="C6" s="8" t="n"/>
      <c r="D6" s="8" t="n"/>
      <c r="E6" s="8" t="n"/>
      <c r="F6" s="8" t="n">
        <v>28188.03</v>
      </c>
      <c r="G6" s="8" t="n"/>
      <c r="H6" s="8" t="n"/>
      <c r="I6" s="8" t="n"/>
      <c r="J6" s="8" t="n"/>
      <c r="K6" s="8" t="n"/>
      <c r="L6" s="8" t="n"/>
      <c r="M6" s="8" t="n"/>
    </row>
    <row r="7">
      <c r="A7" s="10" t="inlineStr">
        <is>
          <t>Capital One Venmo float (9345)</t>
        </is>
      </c>
      <c r="B7" s="8" t="n"/>
      <c r="C7" s="8" t="n"/>
      <c r="D7" s="8" t="n"/>
      <c r="E7" s="8" t="n"/>
      <c r="F7" s="8" t="n">
        <v>75</v>
      </c>
      <c r="G7" s="8" t="n">
        <v>26</v>
      </c>
      <c r="H7" s="8" t="n"/>
      <c r="I7" s="8" t="n"/>
      <c r="J7" s="8" t="n"/>
      <c r="K7" s="8" t="n"/>
      <c r="L7" s="8" t="n"/>
      <c r="M7" s="8" t="n"/>
    </row>
    <row r="8">
      <c r="A8" s="10" t="inlineStr">
        <is>
          <t>Fidelity Money Market</t>
        </is>
      </c>
      <c r="B8" s="8" t="n"/>
      <c r="C8" s="8" t="n"/>
      <c r="D8" s="8" t="n"/>
      <c r="E8" s="8" t="n"/>
      <c r="F8" s="8" t="n">
        <v>2929</v>
      </c>
      <c r="G8" s="8" t="n"/>
      <c r="H8" s="8" t="n"/>
      <c r="I8" s="8" t="n"/>
      <c r="J8" s="8" t="n"/>
      <c r="K8" s="8" t="n"/>
      <c r="L8" s="8" t="n"/>
      <c r="M8" s="8" t="n"/>
    </row>
    <row r="9">
      <c r="A9" s="10" t="inlineStr">
        <is>
          <t>Schwab investment</t>
        </is>
      </c>
      <c r="B9" s="8" t="n"/>
      <c r="C9" s="8" t="n"/>
      <c r="D9" s="8" t="n"/>
      <c r="E9" s="8" t="n"/>
      <c r="F9" s="8" t="n"/>
      <c r="G9" s="8" t="n"/>
      <c r="H9" s="8" t="n"/>
      <c r="I9" s="8" t="n"/>
      <c r="J9" s="8" t="n"/>
      <c r="K9" s="8" t="n"/>
      <c r="L9" s="8" t="n"/>
      <c r="M9" s="8" t="n"/>
    </row>
    <row r="10">
      <c r="A10" s="10" t="inlineStr">
        <is>
          <t>529</t>
        </is>
      </c>
      <c r="B10" s="8" t="n"/>
      <c r="C10" s="8" t="n"/>
      <c r="D10" s="8" t="n"/>
      <c r="E10" s="8" t="n"/>
      <c r="F10" s="8" t="n">
        <v>14298</v>
      </c>
      <c r="G10" s="8" t="n"/>
      <c r="H10" s="8" t="n"/>
      <c r="I10" s="8" t="n"/>
      <c r="J10" s="8" t="n"/>
      <c r="K10" s="8" t="n"/>
      <c r="L10" s="8" t="n"/>
      <c r="M10" s="8" t="n"/>
    </row>
    <row r="11">
      <c r="A11" s="10" t="inlineStr">
        <is>
          <t>FSA Dep Care balance</t>
        </is>
      </c>
      <c r="B11" s="8" t="n"/>
      <c r="C11" s="8" t="n"/>
      <c r="D11" s="8" t="n"/>
      <c r="E11" s="8" t="n"/>
      <c r="F11" s="8" t="n"/>
      <c r="G11" s="8" t="n"/>
      <c r="H11" s="8" t="n"/>
      <c r="I11" s="8" t="n"/>
      <c r="J11" s="8" t="n"/>
      <c r="K11" s="8" t="n"/>
      <c r="L11" s="8" t="n"/>
      <c r="M11" s="8" t="n"/>
    </row>
    <row r="12">
      <c r="A12" s="10" t="inlineStr">
        <is>
          <t>FSA Health Care balance</t>
        </is>
      </c>
      <c r="B12" s="8" t="n"/>
      <c r="C12" s="8" t="n"/>
      <c r="D12" s="8" t="n"/>
      <c r="E12" s="8" t="n"/>
      <c r="F12" s="8" t="n"/>
      <c r="G12" s="8" t="n"/>
      <c r="H12" s="8" t="n"/>
      <c r="I12" s="8" t="n"/>
      <c r="J12" s="8" t="n"/>
      <c r="K12" s="8" t="n"/>
      <c r="L12" s="8" t="n"/>
      <c r="M12" s="8" t="n"/>
    </row>
    <row r="13">
      <c r="A13" s="10" t="inlineStr">
        <is>
          <t>Matt 401k (MathWorks)</t>
        </is>
      </c>
      <c r="B13" s="8" t="n"/>
      <c r="C13" s="8" t="n"/>
      <c r="D13" s="8" t="n"/>
      <c r="E13" s="8" t="n"/>
      <c r="F13" s="8" t="n">
        <v>228000</v>
      </c>
      <c r="G13" s="8" t="n"/>
      <c r="H13" s="8" t="n"/>
      <c r="I13" s="8" t="n"/>
      <c r="J13" s="8" t="n"/>
      <c r="K13" s="8" t="n"/>
      <c r="L13" s="8" t="n"/>
      <c r="M13" s="8" t="n"/>
    </row>
    <row r="14">
      <c r="A14" s="10" t="inlineStr">
        <is>
          <t>Sue 403b (Equitable)</t>
        </is>
      </c>
      <c r="B14" s="8" t="n"/>
      <c r="C14" s="8" t="n"/>
      <c r="D14" s="8" t="n"/>
      <c r="E14" s="8" t="n"/>
      <c r="F14" s="8" t="n"/>
      <c r="G14" s="8" t="n"/>
      <c r="H14" s="8" t="n"/>
      <c r="I14" s="8" t="n"/>
      <c r="J14" s="8" t="n"/>
      <c r="K14" s="8" t="n"/>
      <c r="L14" s="8" t="n"/>
      <c r="M14" s="8" t="n"/>
    </row>
    <row r="15">
      <c r="A15" s="10" t="inlineStr">
        <is>
          <t>Sue pension (estimated)</t>
        </is>
      </c>
      <c r="B15" s="8" t="n"/>
      <c r="C15" s="8" t="n"/>
      <c r="D15" s="8" t="n"/>
      <c r="E15" s="8" t="n"/>
      <c r="F15" s="8" t="n"/>
      <c r="G15" s="8" t="n"/>
      <c r="H15" s="8" t="n"/>
      <c r="I15" s="8" t="n"/>
      <c r="J15" s="8" t="n"/>
      <c r="K15" s="8" t="n"/>
      <c r="L15" s="8" t="n"/>
      <c r="M15" s="8" t="n"/>
    </row>
    <row r="16">
      <c r="A16" s="10" t="inlineStr">
        <is>
          <t>Other</t>
        </is>
      </c>
      <c r="B16" s="8" t="n"/>
      <c r="C16" s="8" t="n"/>
      <c r="D16" s="8" t="n"/>
      <c r="E16" s="8" t="n"/>
      <c r="F16" s="8" t="n"/>
      <c r="G16" s="8" t="n"/>
      <c r="H16" s="8" t="n"/>
      <c r="I16" s="8" t="n"/>
      <c r="J16" s="8" t="n"/>
      <c r="K16" s="8" t="n"/>
      <c r="L16" s="8" t="n"/>
      <c r="M16" s="8" t="n"/>
    </row>
    <row r="17">
      <c r="A17" s="11" t="inlineStr">
        <is>
          <t>Total assets</t>
        </is>
      </c>
      <c r="B17" s="13">
        <f>SUM(B5:B16)</f>
        <v/>
      </c>
      <c r="C17" s="13">
        <f>SUM(C5:C16)</f>
        <v/>
      </c>
      <c r="D17" s="13">
        <f>SUM(D5:D16)</f>
        <v/>
      </c>
      <c r="E17" s="13">
        <f>SUM(E5:E16)</f>
        <v/>
      </c>
      <c r="F17" s="13">
        <f>SUM(F5:F16)</f>
        <v/>
      </c>
      <c r="G17" s="13">
        <f>SUM(G5:G16)</f>
        <v/>
      </c>
      <c r="H17" s="13">
        <f>SUM(H5:H16)</f>
        <v/>
      </c>
      <c r="I17" s="13">
        <f>SUM(I5:I16)</f>
        <v/>
      </c>
      <c r="J17" s="13">
        <f>SUM(J5:J16)</f>
        <v/>
      </c>
      <c r="K17" s="13">
        <f>SUM(K5:K16)</f>
        <v/>
      </c>
      <c r="L17" s="13">
        <f>SUM(L5:L16)</f>
        <v/>
      </c>
      <c r="M17" s="13">
        <f>SUM(M5:M16)</f>
        <v/>
      </c>
    </row>
    <row r="18">
      <c r="A18" s="10" t="inlineStr">
        <is>
          <t>MoM change (assets)</t>
        </is>
      </c>
      <c r="B18" s="15" t="n"/>
      <c r="C18" s="15">
        <f>IF(B17=0,0,C17-B17)</f>
        <v/>
      </c>
      <c r="D18" s="15">
        <f>IF(C17=0,0,D17-C17)</f>
        <v/>
      </c>
      <c r="E18" s="15">
        <f>IF(D17=0,0,E17-D17)</f>
        <v/>
      </c>
      <c r="F18" s="15">
        <f>IF(E17=0,0,F17-E17)</f>
        <v/>
      </c>
      <c r="G18" s="15">
        <f>IF(F17=0,0,G17-F17)</f>
        <v/>
      </c>
      <c r="H18" s="15">
        <f>IF(G17=0,0,H17-G17)</f>
        <v/>
      </c>
      <c r="I18" s="15">
        <f>IF(H17=0,0,I17-H17)</f>
        <v/>
      </c>
      <c r="J18" s="15">
        <f>IF(I17=0,0,J17-I17)</f>
        <v/>
      </c>
      <c r="K18" s="15">
        <f>IF(J17=0,0,K17-J17)</f>
        <v/>
      </c>
      <c r="L18" s="15">
        <f>IF(K17=0,0,L17-K17)</f>
        <v/>
      </c>
      <c r="M18" s="15">
        <f>IF(L17=0,0,M17-L17)</f>
        <v/>
      </c>
    </row>
    <row r="21" ht="15.75" customHeight="1" s="39"/>
    <row r="22" ht="15.75" customHeight="1" s="39"/>
    <row r="23" ht="15.75" customHeight="1" s="39"/>
    <row r="24" ht="15.75" customHeight="1" s="39"/>
    <row r="25" ht="15.75" customHeight="1" s="39"/>
    <row r="26" ht="15.75" customHeight="1" s="39"/>
    <row r="27" ht="15.75" customHeight="1" s="39"/>
    <row r="28" ht="15.75" customHeight="1" s="39"/>
    <row r="29" ht="15.75" customHeight="1" s="39"/>
    <row r="30" ht="15.75" customHeight="1" s="39"/>
    <row r="31" ht="15.75" customHeight="1" s="39"/>
    <row r="32" ht="15.75" customHeight="1" s="39"/>
    <row r="33" ht="15.75" customHeight="1" s="39"/>
    <row r="34" ht="15.75" customHeight="1" s="39"/>
    <row r="35" ht="15.75" customHeight="1" s="39"/>
    <row r="36" ht="15.75" customHeight="1" s="39"/>
    <row r="37" ht="15.75" customHeight="1" s="39"/>
    <row r="38" ht="15.75" customHeight="1" s="39"/>
    <row r="39" ht="15.75" customHeight="1" s="39"/>
    <row r="40" ht="15.75" customHeight="1" s="39"/>
    <row r="41" ht="15.75" customHeight="1" s="39"/>
    <row r="42" ht="15.75" customHeight="1" s="39"/>
    <row r="43" ht="15.75" customHeight="1" s="39"/>
    <row r="44" ht="15.75" customHeight="1" s="39"/>
    <row r="45" ht="15.75" customHeight="1" s="39"/>
    <row r="46" ht="15.75" customHeight="1" s="39"/>
    <row r="47" ht="15.75" customHeight="1" s="39"/>
    <row r="48" ht="15.75" customHeight="1" s="39"/>
    <row r="49" ht="15.75" customHeight="1" s="39"/>
    <row r="50" ht="15.75" customHeight="1" s="39"/>
    <row r="51" ht="15.75" customHeight="1" s="39"/>
    <row r="52" ht="15.75" customHeight="1" s="39"/>
    <row r="53" ht="15.75" customHeight="1" s="39"/>
    <row r="54" ht="15.75" customHeight="1" s="39"/>
    <row r="55" ht="15.75" customHeight="1" s="39"/>
    <row r="56" ht="15.75" customHeight="1" s="39"/>
    <row r="57" ht="15.75" customHeight="1" s="39"/>
    <row r="58" ht="15.75" customHeight="1" s="39"/>
    <row r="59" ht="15.75" customHeight="1" s="39"/>
    <row r="60" ht="15.75" customHeight="1" s="39"/>
    <row r="61" ht="15.75" customHeight="1" s="39"/>
    <row r="62" ht="15.75" customHeight="1" s="39"/>
    <row r="63" ht="15.75" customHeight="1" s="39"/>
    <row r="64" ht="15.75" customHeight="1" s="39"/>
    <row r="65" ht="15.75" customHeight="1" s="39"/>
    <row r="66" ht="15.75" customHeight="1" s="39"/>
    <row r="67" ht="15.75" customHeight="1" s="39"/>
    <row r="68" ht="15.75" customHeight="1" s="39"/>
    <row r="69" ht="15.75" customHeight="1" s="39"/>
    <row r="70" ht="15.75" customHeight="1" s="39"/>
    <row r="71" ht="15.75" customHeight="1" s="39"/>
    <row r="72" ht="15.75" customHeight="1" s="39"/>
    <row r="73" ht="15.75" customHeight="1" s="39"/>
    <row r="74" ht="15.75" customHeight="1" s="39"/>
    <row r="75" ht="15.75" customHeight="1" s="39"/>
    <row r="76" ht="15.75" customHeight="1" s="39"/>
    <row r="77" ht="15.75" customHeight="1" s="39"/>
    <row r="78" ht="15.75" customHeight="1" s="39"/>
    <row r="79" ht="15.75" customHeight="1" s="39"/>
    <row r="80" ht="15.75" customHeight="1" s="39"/>
    <row r="81" ht="15.75" customHeight="1" s="39"/>
    <row r="82" ht="15.75" customHeight="1" s="39"/>
    <row r="83" ht="15.75" customHeight="1" s="39"/>
    <row r="84" ht="15.75" customHeight="1" s="39"/>
    <row r="85" ht="15.75" customHeight="1" s="39"/>
    <row r="86" ht="15.75" customHeight="1" s="39"/>
    <row r="87" ht="15.75" customHeight="1" s="39"/>
    <row r="88" ht="15.75" customHeight="1" s="39"/>
    <row r="89" ht="15.75" customHeight="1" s="39"/>
    <row r="90" ht="15.75" customHeight="1" s="39"/>
    <row r="91" ht="15.75" customHeight="1" s="39"/>
    <row r="92" ht="15.75" customHeight="1" s="39"/>
    <row r="93" ht="15.75" customHeight="1" s="39"/>
    <row r="94" ht="15.75" customHeight="1" s="39"/>
    <row r="95" ht="15.75" customHeight="1" s="39"/>
    <row r="96" ht="15.75" customHeight="1" s="39"/>
    <row r="97" ht="15.75" customHeight="1" s="39"/>
    <row r="98" ht="15.75" customHeight="1" s="39"/>
    <row r="99" ht="15.75" customHeight="1" s="39"/>
    <row r="100" ht="15.75" customHeight="1" s="39"/>
    <row r="101" ht="15.75" customHeight="1" s="39"/>
    <row r="102" ht="15.75" customHeight="1" s="39"/>
    <row r="103" ht="15.75" customHeight="1" s="39"/>
    <row r="104" ht="15.75" customHeight="1" s="39"/>
    <row r="105" ht="15.75" customHeight="1" s="39"/>
    <row r="106" ht="15.75" customHeight="1" s="39"/>
    <row r="107" ht="15.75" customHeight="1" s="39"/>
    <row r="108" ht="15.75" customHeight="1" s="39"/>
    <row r="109" ht="15.75" customHeight="1" s="39"/>
    <row r="110" ht="15.75" customHeight="1" s="39"/>
    <row r="111" ht="15.75" customHeight="1" s="39"/>
    <row r="112" ht="15.75" customHeight="1" s="39"/>
    <row r="113" ht="15.75" customHeight="1" s="39"/>
    <row r="114" ht="15.75" customHeight="1" s="39"/>
    <row r="115" ht="15.75" customHeight="1" s="39"/>
    <row r="116" ht="15.75" customHeight="1" s="39"/>
    <row r="117" ht="15.75" customHeight="1" s="39"/>
    <row r="118" ht="15.75" customHeight="1" s="39"/>
    <row r="119" ht="15.75" customHeight="1" s="39"/>
    <row r="120" ht="15.75" customHeight="1" s="39"/>
    <row r="121" ht="15.75" customHeight="1" s="39"/>
    <row r="122" ht="15.75" customHeight="1" s="39"/>
    <row r="123" ht="15.75" customHeight="1" s="39"/>
    <row r="124" ht="15.75" customHeight="1" s="39"/>
    <row r="125" ht="15.75" customHeight="1" s="39"/>
    <row r="126" ht="15.75" customHeight="1" s="39"/>
    <row r="127" ht="15.75" customHeight="1" s="39"/>
    <row r="128" ht="15.75" customHeight="1" s="39"/>
    <row r="129" ht="15.75" customHeight="1" s="39"/>
    <row r="130" ht="15.75" customHeight="1" s="39"/>
    <row r="131" ht="15.75" customHeight="1" s="39"/>
    <row r="132" ht="15.75" customHeight="1" s="39"/>
    <row r="133" ht="15.75" customHeight="1" s="39"/>
    <row r="134" ht="15.75" customHeight="1" s="39"/>
    <row r="135" ht="15.75" customHeight="1" s="39"/>
    <row r="136" ht="15.75" customHeight="1" s="39"/>
    <row r="137" ht="15.75" customHeight="1" s="39"/>
    <row r="138" ht="15.75" customHeight="1" s="39"/>
    <row r="139" ht="15.75" customHeight="1" s="39"/>
    <row r="140" ht="15.75" customHeight="1" s="39"/>
    <row r="141" ht="15.75" customHeight="1" s="39"/>
    <row r="142" ht="15.75" customHeight="1" s="39"/>
    <row r="143" ht="15.75" customHeight="1" s="39"/>
    <row r="144" ht="15.75" customHeight="1" s="39"/>
    <row r="145" ht="15.75" customHeight="1" s="39"/>
    <row r="146" ht="15.75" customHeight="1" s="39"/>
    <row r="147" ht="15.75" customHeight="1" s="39"/>
    <row r="148" ht="15.75" customHeight="1" s="39"/>
    <row r="149" ht="15.75" customHeight="1" s="39"/>
    <row r="150" ht="15.75" customHeight="1" s="39"/>
    <row r="151" ht="15.75" customHeight="1" s="39"/>
    <row r="152" ht="15.75" customHeight="1" s="39"/>
    <row r="153" ht="15.75" customHeight="1" s="39"/>
    <row r="154" ht="15.75" customHeight="1" s="39"/>
    <row r="155" ht="15.75" customHeight="1" s="39"/>
    <row r="156" ht="15.75" customHeight="1" s="39"/>
    <row r="157" ht="15.75" customHeight="1" s="39"/>
    <row r="158" ht="15.75" customHeight="1" s="39"/>
    <row r="159" ht="15.75" customHeight="1" s="39"/>
    <row r="160" ht="15.75" customHeight="1" s="39"/>
    <row r="161" ht="15.75" customHeight="1" s="39"/>
    <row r="162" ht="15.75" customHeight="1" s="39"/>
    <row r="163" ht="15.75" customHeight="1" s="39"/>
    <row r="164" ht="15.75" customHeight="1" s="39"/>
    <row r="165" ht="15.75" customHeight="1" s="39"/>
    <row r="166" ht="15.75" customHeight="1" s="39"/>
    <row r="167" ht="15.75" customHeight="1" s="39"/>
    <row r="168" ht="15.75" customHeight="1" s="39"/>
    <row r="169" ht="15.75" customHeight="1" s="39"/>
    <row r="170" ht="15.75" customHeight="1" s="39"/>
    <row r="171" ht="15.75" customHeight="1" s="39"/>
    <row r="172" ht="15.75" customHeight="1" s="39"/>
    <row r="173" ht="15.75" customHeight="1" s="39"/>
    <row r="174" ht="15.75" customHeight="1" s="39"/>
    <row r="175" ht="15.75" customHeight="1" s="39"/>
    <row r="176" ht="15.75" customHeight="1" s="39"/>
    <row r="177" ht="15.75" customHeight="1" s="39"/>
    <row r="178" ht="15.75" customHeight="1" s="39"/>
    <row r="179" ht="15.75" customHeight="1" s="39"/>
    <row r="180" ht="15.75" customHeight="1" s="39"/>
    <row r="181" ht="15.75" customHeight="1" s="39"/>
    <row r="182" ht="15.75" customHeight="1" s="39"/>
    <row r="183" ht="15.75" customHeight="1" s="39"/>
    <row r="184" ht="15.75" customHeight="1" s="39"/>
    <row r="185" ht="15.75" customHeight="1" s="39"/>
    <row r="186" ht="15.75" customHeight="1" s="39"/>
    <row r="187" ht="15.75" customHeight="1" s="39"/>
    <row r="188" ht="15.75" customHeight="1" s="39"/>
    <row r="189" ht="15.75" customHeight="1" s="39"/>
    <row r="190" ht="15.75" customHeight="1" s="39"/>
    <row r="191" ht="15.75" customHeight="1" s="39"/>
    <row r="192" ht="15.75" customHeight="1" s="39"/>
    <row r="193" ht="15.75" customHeight="1" s="39"/>
    <row r="194" ht="15.75" customHeight="1" s="39"/>
    <row r="195" ht="15.75" customHeight="1" s="39"/>
    <row r="196" ht="15.75" customHeight="1" s="39"/>
    <row r="197" ht="15.75" customHeight="1" s="39"/>
    <row r="198" ht="15.75" customHeight="1" s="39"/>
    <row r="199" ht="15.75" customHeight="1" s="39"/>
    <row r="200" ht="15.75" customHeight="1" s="39"/>
    <row r="201" ht="15.75" customHeight="1" s="39"/>
    <row r="202" ht="15.75" customHeight="1" s="39"/>
    <row r="203" ht="15.75" customHeight="1" s="39"/>
    <row r="204" ht="15.75" customHeight="1" s="39"/>
    <row r="205" ht="15.75" customHeight="1" s="39"/>
    <row r="206" ht="15.75" customHeight="1" s="39"/>
    <row r="207" ht="15.75" customHeight="1" s="39"/>
    <row r="208" ht="15.75" customHeight="1" s="39"/>
    <row r="209" ht="15.75" customHeight="1" s="39"/>
    <row r="210" ht="15.75" customHeight="1" s="39"/>
    <row r="211" ht="15.75" customHeight="1" s="39"/>
    <row r="212" ht="15.75" customHeight="1" s="39"/>
    <row r="213" ht="15.75" customHeight="1" s="39"/>
    <row r="214" ht="15.75" customHeight="1" s="39"/>
    <row r="215" ht="15.75" customHeight="1" s="39"/>
    <row r="216" ht="15.75" customHeight="1" s="39"/>
    <row r="217" ht="15.75" customHeight="1" s="39"/>
    <row r="218" ht="15.75" customHeight="1" s="39"/>
    <row r="219" ht="15.75" customHeight="1" s="39"/>
    <row r="220" ht="15.75" customHeight="1" s="39"/>
    <row r="221" ht="15.75" customHeight="1" s="39"/>
    <row r="222" ht="15.75" customHeight="1" s="39"/>
    <row r="223" ht="15.75" customHeight="1" s="39"/>
    <row r="224" ht="15.75" customHeight="1" s="39"/>
    <row r="225" ht="15.75" customHeight="1" s="39"/>
    <row r="226" ht="15.75" customHeight="1" s="39"/>
    <row r="227" ht="15.75" customHeight="1" s="39"/>
    <row r="228" ht="15.75" customHeight="1" s="39"/>
    <row r="229" ht="15.75" customHeight="1" s="39"/>
    <row r="230" ht="15.75" customHeight="1" s="39"/>
    <row r="231" ht="15.75" customHeight="1" s="39"/>
    <row r="232" ht="15.75" customHeight="1" s="39"/>
    <row r="233" ht="15.75" customHeight="1" s="39"/>
    <row r="234" ht="15.75" customHeight="1" s="39"/>
    <row r="235" ht="15.75" customHeight="1" s="39"/>
    <row r="236" ht="15.75" customHeight="1" s="39"/>
    <row r="237" ht="15.75" customHeight="1" s="39"/>
    <row r="238" ht="15.75" customHeight="1" s="39"/>
    <row r="239" ht="15.75" customHeight="1" s="39"/>
    <row r="240" ht="15.75" customHeight="1" s="39"/>
    <row r="241" ht="15.75" customHeight="1" s="39"/>
    <row r="242" ht="15.75" customHeight="1" s="39"/>
    <row r="243" ht="15.75" customHeight="1" s="39"/>
    <row r="244" ht="15.75" customHeight="1" s="39"/>
    <row r="245" ht="15.75" customHeight="1" s="39"/>
    <row r="246" ht="15.75" customHeight="1" s="39"/>
    <row r="247" ht="15.75" customHeight="1" s="39"/>
    <row r="248" ht="15.75" customHeight="1" s="39"/>
    <row r="249" ht="15.75" customHeight="1" s="39"/>
    <row r="250" ht="15.75" customHeight="1" s="39"/>
    <row r="251" ht="15.75" customHeight="1" s="39"/>
    <row r="252" ht="15.75" customHeight="1" s="39"/>
    <row r="253" ht="15.75" customHeight="1" s="39"/>
    <row r="254" ht="15.75" customHeight="1" s="39"/>
    <row r="255" ht="15.75" customHeight="1" s="39"/>
    <row r="256" ht="15.75" customHeight="1" s="39"/>
    <row r="257" ht="15.75" customHeight="1" s="39"/>
    <row r="258" ht="15.75" customHeight="1" s="39"/>
    <row r="259" ht="15.75" customHeight="1" s="39"/>
    <row r="260" ht="15.75" customHeight="1" s="39"/>
    <row r="261" ht="15.75" customHeight="1" s="39"/>
    <row r="262" ht="15.75" customHeight="1" s="39"/>
    <row r="263" ht="15.75" customHeight="1" s="39"/>
    <row r="264" ht="15.75" customHeight="1" s="39"/>
    <row r="265" ht="15.75" customHeight="1" s="39"/>
    <row r="266" ht="15.75" customHeight="1" s="39"/>
    <row r="267" ht="15.75" customHeight="1" s="39"/>
    <row r="268" ht="15.75" customHeight="1" s="39"/>
    <row r="269" ht="15.75" customHeight="1" s="39"/>
    <row r="270" ht="15.75" customHeight="1" s="39"/>
    <row r="271" ht="15.75" customHeight="1" s="39"/>
    <row r="272" ht="15.75" customHeight="1" s="39"/>
    <row r="273" ht="15.75" customHeight="1" s="39"/>
    <row r="274" ht="15.75" customHeight="1" s="39"/>
    <row r="275" ht="15.75" customHeight="1" s="39"/>
    <row r="276" ht="15.75" customHeight="1" s="39"/>
    <row r="277" ht="15.75" customHeight="1" s="39"/>
    <row r="278" ht="15.75" customHeight="1" s="39"/>
    <row r="279" ht="15.75" customHeight="1" s="39"/>
    <row r="280" ht="15.75" customHeight="1" s="39"/>
    <row r="281" ht="15.75" customHeight="1" s="39"/>
    <row r="282" ht="15.75" customHeight="1" s="39"/>
    <row r="283" ht="15.75" customHeight="1" s="39"/>
    <row r="284" ht="15.75" customHeight="1" s="39"/>
    <row r="285" ht="15.75" customHeight="1" s="39"/>
    <row r="286" ht="15.75" customHeight="1" s="39"/>
    <row r="287" ht="15.75" customHeight="1" s="39"/>
    <row r="288" ht="15.75" customHeight="1" s="39"/>
    <row r="289" ht="15.75" customHeight="1" s="39"/>
    <row r="290" ht="15.75" customHeight="1" s="39"/>
    <row r="291" ht="15.75" customHeight="1" s="39"/>
    <row r="292" ht="15.75" customHeight="1" s="39"/>
    <row r="293" ht="15.75" customHeight="1" s="39"/>
    <row r="294" ht="15.75" customHeight="1" s="39"/>
    <row r="295" ht="15.75" customHeight="1" s="39"/>
    <row r="296" ht="15.75" customHeight="1" s="39"/>
    <row r="297" ht="15.75" customHeight="1" s="39"/>
    <row r="298" ht="15.75" customHeight="1" s="39"/>
    <row r="299" ht="15.75" customHeight="1" s="39"/>
    <row r="300" ht="15.75" customHeight="1" s="39"/>
    <row r="301" ht="15.75" customHeight="1" s="39"/>
    <row r="302" ht="15.75" customHeight="1" s="39"/>
    <row r="303" ht="15.75" customHeight="1" s="39"/>
    <row r="304" ht="15.75" customHeight="1" s="39"/>
    <row r="305" ht="15.75" customHeight="1" s="39"/>
    <row r="306" ht="15.75" customHeight="1" s="39"/>
    <row r="307" ht="15.75" customHeight="1" s="39"/>
    <row r="308" ht="15.75" customHeight="1" s="39"/>
    <row r="309" ht="15.75" customHeight="1" s="39"/>
    <row r="310" ht="15.75" customHeight="1" s="39"/>
    <row r="311" ht="15.75" customHeight="1" s="39"/>
    <row r="312" ht="15.75" customHeight="1" s="39"/>
    <row r="313" ht="15.75" customHeight="1" s="39"/>
    <row r="314" ht="15.75" customHeight="1" s="39"/>
    <row r="315" ht="15.75" customHeight="1" s="39"/>
    <row r="316" ht="15.75" customHeight="1" s="39"/>
    <row r="317" ht="15.75" customHeight="1" s="39"/>
    <row r="318" ht="15.75" customHeight="1" s="39"/>
    <row r="319" ht="15.75" customHeight="1" s="39"/>
    <row r="320" ht="15.75" customHeight="1" s="39"/>
    <row r="321" ht="15.75" customHeight="1" s="39"/>
    <row r="322" ht="15.75" customHeight="1" s="39"/>
    <row r="323" ht="15.75" customHeight="1" s="39"/>
    <row r="324" ht="15.75" customHeight="1" s="39"/>
    <row r="325" ht="15.75" customHeight="1" s="39"/>
    <row r="326" ht="15.75" customHeight="1" s="39"/>
    <row r="327" ht="15.75" customHeight="1" s="39"/>
    <row r="328" ht="15.75" customHeight="1" s="39"/>
    <row r="329" ht="15.75" customHeight="1" s="39"/>
    <row r="330" ht="15.75" customHeight="1" s="39"/>
    <row r="331" ht="15.75" customHeight="1" s="39"/>
    <row r="332" ht="15.75" customHeight="1" s="39"/>
    <row r="333" ht="15.75" customHeight="1" s="39"/>
    <row r="334" ht="15.75" customHeight="1" s="39"/>
    <row r="335" ht="15.75" customHeight="1" s="39"/>
    <row r="336" ht="15.75" customHeight="1" s="39"/>
    <row r="337" ht="15.75" customHeight="1" s="39"/>
    <row r="338" ht="15.75" customHeight="1" s="39"/>
    <row r="339" ht="15.75" customHeight="1" s="39"/>
    <row r="340" ht="15.75" customHeight="1" s="39"/>
    <row r="341" ht="15.75" customHeight="1" s="39"/>
    <row r="342" ht="15.75" customHeight="1" s="39"/>
    <row r="343" ht="15.75" customHeight="1" s="39"/>
    <row r="344" ht="15.75" customHeight="1" s="39"/>
    <row r="345" ht="15.75" customHeight="1" s="39"/>
    <row r="346" ht="15.75" customHeight="1" s="39"/>
    <row r="347" ht="15.75" customHeight="1" s="39"/>
    <row r="348" ht="15.75" customHeight="1" s="39"/>
    <row r="349" ht="15.75" customHeight="1" s="39"/>
    <row r="350" ht="15.75" customHeight="1" s="39"/>
    <row r="351" ht="15.75" customHeight="1" s="39"/>
    <row r="352" ht="15.75" customHeight="1" s="39"/>
    <row r="353" ht="15.75" customHeight="1" s="39"/>
    <row r="354" ht="15.75" customHeight="1" s="39"/>
    <row r="355" ht="15.75" customHeight="1" s="39"/>
    <row r="356" ht="15.75" customHeight="1" s="39"/>
    <row r="357" ht="15.75" customHeight="1" s="39"/>
    <row r="358" ht="15.75" customHeight="1" s="39"/>
    <row r="359" ht="15.75" customHeight="1" s="39"/>
    <row r="360" ht="15.75" customHeight="1" s="39"/>
    <row r="361" ht="15.75" customHeight="1" s="39"/>
    <row r="362" ht="15.75" customHeight="1" s="39"/>
    <row r="363" ht="15.75" customHeight="1" s="39"/>
    <row r="364" ht="15.75" customHeight="1" s="39"/>
    <row r="365" ht="15.75" customHeight="1" s="39"/>
    <row r="366" ht="15.75" customHeight="1" s="39"/>
    <row r="367" ht="15.75" customHeight="1" s="39"/>
    <row r="368" ht="15.75" customHeight="1" s="39"/>
    <row r="369" ht="15.75" customHeight="1" s="39"/>
    <row r="370" ht="15.75" customHeight="1" s="39"/>
    <row r="371" ht="15.75" customHeight="1" s="39"/>
    <row r="372" ht="15.75" customHeight="1" s="39"/>
    <row r="373" ht="15.75" customHeight="1" s="39"/>
    <row r="374" ht="15.75" customHeight="1" s="39"/>
    <row r="375" ht="15.75" customHeight="1" s="39"/>
    <row r="376" ht="15.75" customHeight="1" s="39"/>
    <row r="377" ht="15.75" customHeight="1" s="39"/>
    <row r="378" ht="15.75" customHeight="1" s="39"/>
    <row r="379" ht="15.75" customHeight="1" s="39"/>
    <row r="380" ht="15.75" customHeight="1" s="39"/>
    <row r="381" ht="15.75" customHeight="1" s="39"/>
    <row r="382" ht="15.75" customHeight="1" s="39"/>
    <row r="383" ht="15.75" customHeight="1" s="39"/>
    <row r="384" ht="15.75" customHeight="1" s="39"/>
    <row r="385" ht="15.75" customHeight="1" s="39"/>
    <row r="386" ht="15.75" customHeight="1" s="39"/>
    <row r="387" ht="15.75" customHeight="1" s="39"/>
    <row r="388" ht="15.75" customHeight="1" s="39"/>
    <row r="389" ht="15.75" customHeight="1" s="39"/>
    <row r="390" ht="15.75" customHeight="1" s="39"/>
    <row r="391" ht="15.75" customHeight="1" s="39"/>
    <row r="392" ht="15.75" customHeight="1" s="39"/>
    <row r="393" ht="15.75" customHeight="1" s="39"/>
    <row r="394" ht="15.75" customHeight="1" s="39"/>
    <row r="395" ht="15.75" customHeight="1" s="39"/>
    <row r="396" ht="15.75" customHeight="1" s="39"/>
    <row r="397" ht="15.75" customHeight="1" s="39"/>
    <row r="398" ht="15.75" customHeight="1" s="39"/>
    <row r="399" ht="15.75" customHeight="1" s="39"/>
    <row r="400" ht="15.75" customHeight="1" s="39"/>
    <row r="401" ht="15.75" customHeight="1" s="39"/>
    <row r="402" ht="15.75" customHeight="1" s="39"/>
    <row r="403" ht="15.75" customHeight="1" s="39"/>
    <row r="404" ht="15.75" customHeight="1" s="39"/>
    <row r="405" ht="15.75" customHeight="1" s="39"/>
    <row r="406" ht="15.75" customHeight="1" s="39"/>
    <row r="407" ht="15.75" customHeight="1" s="39"/>
    <row r="408" ht="15.75" customHeight="1" s="39"/>
    <row r="409" ht="15.75" customHeight="1" s="39"/>
    <row r="410" ht="15.75" customHeight="1" s="39"/>
    <row r="411" ht="15.75" customHeight="1" s="39"/>
    <row r="412" ht="15.75" customHeight="1" s="39"/>
    <row r="413" ht="15.75" customHeight="1" s="39"/>
    <row r="414" ht="15.75" customHeight="1" s="39"/>
    <row r="415" ht="15.75" customHeight="1" s="39"/>
    <row r="416" ht="15.75" customHeight="1" s="39"/>
    <row r="417" ht="15.75" customHeight="1" s="39"/>
    <row r="418" ht="15.75" customHeight="1" s="39"/>
    <row r="419" ht="15.75" customHeight="1" s="39"/>
    <row r="420" ht="15.75" customHeight="1" s="39"/>
    <row r="421" ht="15.75" customHeight="1" s="39"/>
    <row r="422" ht="15.75" customHeight="1" s="39"/>
    <row r="423" ht="15.75" customHeight="1" s="39"/>
    <row r="424" ht="15.75" customHeight="1" s="39"/>
    <row r="425" ht="15.75" customHeight="1" s="39"/>
    <row r="426" ht="15.75" customHeight="1" s="39"/>
    <row r="427" ht="15.75" customHeight="1" s="39"/>
    <row r="428" ht="15.75" customHeight="1" s="39"/>
    <row r="429" ht="15.75" customHeight="1" s="39"/>
    <row r="430" ht="15.75" customHeight="1" s="39"/>
    <row r="431" ht="15.75" customHeight="1" s="39"/>
    <row r="432" ht="15.75" customHeight="1" s="39"/>
    <row r="433" ht="15.75" customHeight="1" s="39"/>
    <row r="434" ht="15.75" customHeight="1" s="39"/>
    <row r="435" ht="15.75" customHeight="1" s="39"/>
    <row r="436" ht="15.75" customHeight="1" s="39"/>
    <row r="437" ht="15.75" customHeight="1" s="39"/>
    <row r="438" ht="15.75" customHeight="1" s="39"/>
    <row r="439" ht="15.75" customHeight="1" s="39"/>
    <row r="440" ht="15.75" customHeight="1" s="39"/>
    <row r="441" ht="15.75" customHeight="1" s="39"/>
    <row r="442" ht="15.75" customHeight="1" s="39"/>
    <row r="443" ht="15.75" customHeight="1" s="39"/>
    <row r="444" ht="15.75" customHeight="1" s="39"/>
    <row r="445" ht="15.75" customHeight="1" s="39"/>
    <row r="446" ht="15.75" customHeight="1" s="39"/>
    <row r="447" ht="15.75" customHeight="1" s="39"/>
    <row r="448" ht="15.75" customHeight="1" s="39"/>
    <row r="449" ht="15.75" customHeight="1" s="39"/>
    <row r="450" ht="15.75" customHeight="1" s="39"/>
    <row r="451" ht="15.75" customHeight="1" s="39"/>
    <row r="452" ht="15.75" customHeight="1" s="39"/>
    <row r="453" ht="15.75" customHeight="1" s="39"/>
    <row r="454" ht="15.75" customHeight="1" s="39"/>
    <row r="455" ht="15.75" customHeight="1" s="39"/>
    <row r="456" ht="15.75" customHeight="1" s="39"/>
    <row r="457" ht="15.75" customHeight="1" s="39"/>
    <row r="458" ht="15.75" customHeight="1" s="39"/>
    <row r="459" ht="15.75" customHeight="1" s="39"/>
    <row r="460" ht="15.75" customHeight="1" s="39"/>
    <row r="461" ht="15.75" customHeight="1" s="39"/>
    <row r="462" ht="15.75" customHeight="1" s="39"/>
    <row r="463" ht="15.75" customHeight="1" s="39"/>
    <row r="464" ht="15.75" customHeight="1" s="39"/>
    <row r="465" ht="15.75" customHeight="1" s="39"/>
    <row r="466" ht="15.75" customHeight="1" s="39"/>
    <row r="467" ht="15.75" customHeight="1" s="39"/>
    <row r="468" ht="15.75" customHeight="1" s="39"/>
    <row r="469" ht="15.75" customHeight="1" s="39"/>
    <row r="470" ht="15.75" customHeight="1" s="39"/>
    <row r="471" ht="15.75" customHeight="1" s="39"/>
    <row r="472" ht="15.75" customHeight="1" s="39"/>
    <row r="473" ht="15.75" customHeight="1" s="39"/>
    <row r="474" ht="15.75" customHeight="1" s="39"/>
    <row r="475" ht="15.75" customHeight="1" s="39"/>
    <row r="476" ht="15.75" customHeight="1" s="39"/>
    <row r="477" ht="15.75" customHeight="1" s="39"/>
    <row r="478" ht="15.75" customHeight="1" s="39"/>
    <row r="479" ht="15.75" customHeight="1" s="39"/>
    <row r="480" ht="15.75" customHeight="1" s="39"/>
    <row r="481" ht="15.75" customHeight="1" s="39"/>
    <row r="482" ht="15.75" customHeight="1" s="39"/>
    <row r="483" ht="15.75" customHeight="1" s="39"/>
    <row r="484" ht="15.75" customHeight="1" s="39"/>
    <row r="485" ht="15.75" customHeight="1" s="39"/>
    <row r="486" ht="15.75" customHeight="1" s="39"/>
    <row r="487" ht="15.75" customHeight="1" s="39"/>
    <row r="488" ht="15.75" customHeight="1" s="39"/>
    <row r="489" ht="15.75" customHeight="1" s="39"/>
    <row r="490" ht="15.75" customHeight="1" s="39"/>
    <row r="491" ht="15.75" customHeight="1" s="39"/>
    <row r="492" ht="15.75" customHeight="1" s="39"/>
    <row r="493" ht="15.75" customHeight="1" s="39"/>
    <row r="494" ht="15.75" customHeight="1" s="39"/>
    <row r="495" ht="15.75" customHeight="1" s="39"/>
    <row r="496" ht="15.75" customHeight="1" s="39"/>
    <row r="497" ht="15.75" customHeight="1" s="39"/>
    <row r="498" ht="15.75" customHeight="1" s="39"/>
    <row r="499" ht="15.75" customHeight="1" s="39"/>
    <row r="500" ht="15.75" customHeight="1" s="39"/>
    <row r="501" ht="15.75" customHeight="1" s="39"/>
    <row r="502" ht="15.75" customHeight="1" s="39"/>
    <row r="503" ht="15.75" customHeight="1" s="39"/>
    <row r="504" ht="15.75" customHeight="1" s="39"/>
    <row r="505" ht="15.75" customHeight="1" s="39"/>
    <row r="506" ht="15.75" customHeight="1" s="39"/>
    <row r="507" ht="15.75" customHeight="1" s="39"/>
    <row r="508" ht="15.75" customHeight="1" s="39"/>
    <row r="509" ht="15.75" customHeight="1" s="39"/>
    <row r="510" ht="15.75" customHeight="1" s="39"/>
    <row r="511" ht="15.75" customHeight="1" s="39"/>
    <row r="512" ht="15.75" customHeight="1" s="39"/>
    <row r="513" ht="15.75" customHeight="1" s="39"/>
    <row r="514" ht="15.75" customHeight="1" s="39"/>
    <row r="515" ht="15.75" customHeight="1" s="39"/>
    <row r="516" ht="15.75" customHeight="1" s="39"/>
    <row r="517" ht="15.75" customHeight="1" s="39"/>
    <row r="518" ht="15.75" customHeight="1" s="39"/>
    <row r="519" ht="15.75" customHeight="1" s="39"/>
    <row r="520" ht="15.75" customHeight="1" s="39"/>
    <row r="521" ht="15.75" customHeight="1" s="39"/>
    <row r="522" ht="15.75" customHeight="1" s="39"/>
    <row r="523" ht="15.75" customHeight="1" s="39"/>
    <row r="524" ht="15.75" customHeight="1" s="39"/>
    <row r="525" ht="15.75" customHeight="1" s="39"/>
    <row r="526" ht="15.75" customHeight="1" s="39"/>
    <row r="527" ht="15.75" customHeight="1" s="39"/>
    <row r="528" ht="15.75" customHeight="1" s="39"/>
    <row r="529" ht="15.75" customHeight="1" s="39"/>
    <row r="530" ht="15.75" customHeight="1" s="39"/>
    <row r="531" ht="15.75" customHeight="1" s="39"/>
    <row r="532" ht="15.75" customHeight="1" s="39"/>
    <row r="533" ht="15.75" customHeight="1" s="39"/>
    <row r="534" ht="15.75" customHeight="1" s="39"/>
    <row r="535" ht="15.75" customHeight="1" s="39"/>
    <row r="536" ht="15.75" customHeight="1" s="39"/>
    <row r="537" ht="15.75" customHeight="1" s="39"/>
    <row r="538" ht="15.75" customHeight="1" s="39"/>
    <row r="539" ht="15.75" customHeight="1" s="39"/>
    <row r="540" ht="15.75" customHeight="1" s="39"/>
    <row r="541" ht="15.75" customHeight="1" s="39"/>
    <row r="542" ht="15.75" customHeight="1" s="39"/>
    <row r="543" ht="15.75" customHeight="1" s="39"/>
    <row r="544" ht="15.75" customHeight="1" s="39"/>
    <row r="545" ht="15.75" customHeight="1" s="39"/>
    <row r="546" ht="15.75" customHeight="1" s="39"/>
    <row r="547" ht="15.75" customHeight="1" s="39"/>
    <row r="548" ht="15.75" customHeight="1" s="39"/>
    <row r="549" ht="15.75" customHeight="1" s="39"/>
    <row r="550" ht="15.75" customHeight="1" s="39"/>
    <row r="551" ht="15.75" customHeight="1" s="39"/>
    <row r="552" ht="15.75" customHeight="1" s="39"/>
    <row r="553" ht="15.75" customHeight="1" s="39"/>
    <row r="554" ht="15.75" customHeight="1" s="39"/>
    <row r="555" ht="15.75" customHeight="1" s="39"/>
    <row r="556" ht="15.75" customHeight="1" s="39"/>
    <row r="557" ht="15.75" customHeight="1" s="39"/>
    <row r="558" ht="15.75" customHeight="1" s="39"/>
    <row r="559" ht="15.75" customHeight="1" s="39"/>
    <row r="560" ht="15.75" customHeight="1" s="39"/>
    <row r="561" ht="15.75" customHeight="1" s="39"/>
    <row r="562" ht="15.75" customHeight="1" s="39"/>
    <row r="563" ht="15.75" customHeight="1" s="39"/>
    <row r="564" ht="15.75" customHeight="1" s="39"/>
    <row r="565" ht="15.75" customHeight="1" s="39"/>
    <row r="566" ht="15.75" customHeight="1" s="39"/>
    <row r="567" ht="15.75" customHeight="1" s="39"/>
    <row r="568" ht="15.75" customHeight="1" s="39"/>
    <row r="569" ht="15.75" customHeight="1" s="39"/>
    <row r="570" ht="15.75" customHeight="1" s="39"/>
    <row r="571" ht="15.75" customHeight="1" s="39"/>
    <row r="572" ht="15.75" customHeight="1" s="39"/>
    <row r="573" ht="15.75" customHeight="1" s="39"/>
    <row r="574" ht="15.75" customHeight="1" s="39"/>
    <row r="575" ht="15.75" customHeight="1" s="39"/>
    <row r="576" ht="15.75" customHeight="1" s="39"/>
    <row r="577" ht="15.75" customHeight="1" s="39"/>
    <row r="578" ht="15.75" customHeight="1" s="39"/>
    <row r="579" ht="15.75" customHeight="1" s="39"/>
    <row r="580" ht="15.75" customHeight="1" s="39"/>
    <row r="581" ht="15.75" customHeight="1" s="39"/>
    <row r="582" ht="15.75" customHeight="1" s="39"/>
    <row r="583" ht="15.75" customHeight="1" s="39"/>
    <row r="584" ht="15.75" customHeight="1" s="39"/>
    <row r="585" ht="15.75" customHeight="1" s="39"/>
    <row r="586" ht="15.75" customHeight="1" s="39"/>
    <row r="587" ht="15.75" customHeight="1" s="39"/>
    <row r="588" ht="15.75" customHeight="1" s="39"/>
    <row r="589" ht="15.75" customHeight="1" s="39"/>
    <row r="590" ht="15.75" customHeight="1" s="39"/>
    <row r="591" ht="15.75" customHeight="1" s="39"/>
    <row r="592" ht="15.75" customHeight="1" s="39"/>
    <row r="593" ht="15.75" customHeight="1" s="39"/>
    <row r="594" ht="15.75" customHeight="1" s="39"/>
    <row r="595" ht="15.75" customHeight="1" s="39"/>
    <row r="596" ht="15.75" customHeight="1" s="39"/>
    <row r="597" ht="15.75" customHeight="1" s="39"/>
    <row r="598" ht="15.75" customHeight="1" s="39"/>
    <row r="599" ht="15.75" customHeight="1" s="39"/>
    <row r="600" ht="15.75" customHeight="1" s="39"/>
    <row r="601" ht="15.75" customHeight="1" s="39"/>
    <row r="602" ht="15.75" customHeight="1" s="39"/>
    <row r="603" ht="15.75" customHeight="1" s="39"/>
    <row r="604" ht="15.75" customHeight="1" s="39"/>
    <row r="605" ht="15.75" customHeight="1" s="39"/>
    <row r="606" ht="15.75" customHeight="1" s="39"/>
    <row r="607" ht="15.75" customHeight="1" s="39"/>
    <row r="608" ht="15.75" customHeight="1" s="39"/>
    <row r="609" ht="15.75" customHeight="1" s="39"/>
    <row r="610" ht="15.75" customHeight="1" s="39"/>
    <row r="611" ht="15.75" customHeight="1" s="39"/>
    <row r="612" ht="15.75" customHeight="1" s="39"/>
    <row r="613" ht="15.75" customHeight="1" s="39"/>
    <row r="614" ht="15.75" customHeight="1" s="39"/>
    <row r="615" ht="15.75" customHeight="1" s="39"/>
    <row r="616" ht="15.75" customHeight="1" s="39"/>
    <row r="617" ht="15.75" customHeight="1" s="39"/>
    <row r="618" ht="15.75" customHeight="1" s="39"/>
    <row r="619" ht="15.75" customHeight="1" s="39"/>
    <row r="620" ht="15.75" customHeight="1" s="39"/>
    <row r="621" ht="15.75" customHeight="1" s="39"/>
    <row r="622" ht="15.75" customHeight="1" s="39"/>
    <row r="623" ht="15.75" customHeight="1" s="39"/>
    <row r="624" ht="15.75" customHeight="1" s="39"/>
    <row r="625" ht="15.75" customHeight="1" s="39"/>
    <row r="626" ht="15.75" customHeight="1" s="39"/>
    <row r="627" ht="15.75" customHeight="1" s="39"/>
    <row r="628" ht="15.75" customHeight="1" s="39"/>
    <row r="629" ht="15.75" customHeight="1" s="39"/>
    <row r="630" ht="15.75" customHeight="1" s="39"/>
    <row r="631" ht="15.75" customHeight="1" s="39"/>
    <row r="632" ht="15.75" customHeight="1" s="39"/>
    <row r="633" ht="15.75" customHeight="1" s="39"/>
    <row r="634" ht="15.75" customHeight="1" s="39"/>
    <row r="635" ht="15.75" customHeight="1" s="39"/>
    <row r="636" ht="15.75" customHeight="1" s="39"/>
    <row r="637" ht="15.75" customHeight="1" s="39"/>
    <row r="638" ht="15.75" customHeight="1" s="39"/>
    <row r="639" ht="15.75" customHeight="1" s="39"/>
    <row r="640" ht="15.75" customHeight="1" s="39"/>
    <row r="641" ht="15.75" customHeight="1" s="39"/>
    <row r="642" ht="15.75" customHeight="1" s="39"/>
    <row r="643" ht="15.75" customHeight="1" s="39"/>
    <row r="644" ht="15.75" customHeight="1" s="39"/>
    <row r="645" ht="15.75" customHeight="1" s="39"/>
    <row r="646" ht="15.75" customHeight="1" s="39"/>
    <row r="647" ht="15.75" customHeight="1" s="39"/>
    <row r="648" ht="15.75" customHeight="1" s="39"/>
    <row r="649" ht="15.75" customHeight="1" s="39"/>
    <row r="650" ht="15.75" customHeight="1" s="39"/>
    <row r="651" ht="15.75" customHeight="1" s="39"/>
    <row r="652" ht="15.75" customHeight="1" s="39"/>
    <row r="653" ht="15.75" customHeight="1" s="39"/>
    <row r="654" ht="15.75" customHeight="1" s="39"/>
    <row r="655" ht="15.75" customHeight="1" s="39"/>
    <row r="656" ht="15.75" customHeight="1" s="39"/>
    <row r="657" ht="15.75" customHeight="1" s="39"/>
    <row r="658" ht="15.75" customHeight="1" s="39"/>
    <row r="659" ht="15.75" customHeight="1" s="39"/>
    <row r="660" ht="15.75" customHeight="1" s="39"/>
    <row r="661" ht="15.75" customHeight="1" s="39"/>
    <row r="662" ht="15.75" customHeight="1" s="39"/>
    <row r="663" ht="15.75" customHeight="1" s="39"/>
    <row r="664" ht="15.75" customHeight="1" s="39"/>
    <row r="665" ht="15.75" customHeight="1" s="39"/>
    <row r="666" ht="15.75" customHeight="1" s="39"/>
    <row r="667" ht="15.75" customHeight="1" s="39"/>
    <row r="668" ht="15.75" customHeight="1" s="39"/>
    <row r="669" ht="15.75" customHeight="1" s="39"/>
    <row r="670" ht="15.75" customHeight="1" s="39"/>
    <row r="671" ht="15.75" customHeight="1" s="39"/>
    <row r="672" ht="15.75" customHeight="1" s="39"/>
    <row r="673" ht="15.75" customHeight="1" s="39"/>
    <row r="674" ht="15.75" customHeight="1" s="39"/>
    <row r="675" ht="15.75" customHeight="1" s="39"/>
    <row r="676" ht="15.75" customHeight="1" s="39"/>
    <row r="677" ht="15.75" customHeight="1" s="39"/>
    <row r="678" ht="15.75" customHeight="1" s="39"/>
    <row r="679" ht="15.75" customHeight="1" s="39"/>
    <row r="680" ht="15.75" customHeight="1" s="39"/>
    <row r="681" ht="15.75" customHeight="1" s="39"/>
    <row r="682" ht="15.75" customHeight="1" s="39"/>
    <row r="683" ht="15.75" customHeight="1" s="39"/>
    <row r="684" ht="15.75" customHeight="1" s="39"/>
    <row r="685" ht="15.75" customHeight="1" s="39"/>
    <row r="686" ht="15.75" customHeight="1" s="39"/>
    <row r="687" ht="15.75" customHeight="1" s="39"/>
    <row r="688" ht="15.75" customHeight="1" s="39"/>
    <row r="689" ht="15.75" customHeight="1" s="39"/>
    <row r="690" ht="15.75" customHeight="1" s="39"/>
    <row r="691" ht="15.75" customHeight="1" s="39"/>
    <row r="692" ht="15.75" customHeight="1" s="39"/>
    <row r="693" ht="15.75" customHeight="1" s="39"/>
    <row r="694" ht="15.75" customHeight="1" s="39"/>
    <row r="695" ht="15.75" customHeight="1" s="39"/>
    <row r="696" ht="15.75" customHeight="1" s="39"/>
    <row r="697" ht="15.75" customHeight="1" s="39"/>
    <row r="698" ht="15.75" customHeight="1" s="39"/>
    <row r="699" ht="15.75" customHeight="1" s="39"/>
    <row r="700" ht="15.75" customHeight="1" s="39"/>
    <row r="701" ht="15.75" customHeight="1" s="39"/>
    <row r="702" ht="15.75" customHeight="1" s="39"/>
    <row r="703" ht="15.75" customHeight="1" s="39"/>
    <row r="704" ht="15.75" customHeight="1" s="39"/>
    <row r="705" ht="15.75" customHeight="1" s="39"/>
    <row r="706" ht="15.75" customHeight="1" s="39"/>
    <row r="707" ht="15.75" customHeight="1" s="39"/>
    <row r="708" ht="15.75" customHeight="1" s="39"/>
    <row r="709" ht="15.75" customHeight="1" s="39"/>
    <row r="710" ht="15.75" customHeight="1" s="39"/>
    <row r="711" ht="15.75" customHeight="1" s="39"/>
    <row r="712" ht="15.75" customHeight="1" s="39"/>
    <row r="713" ht="15.75" customHeight="1" s="39"/>
    <row r="714" ht="15.75" customHeight="1" s="39"/>
    <row r="715" ht="15.75" customHeight="1" s="39"/>
    <row r="716" ht="15.75" customHeight="1" s="39"/>
    <row r="717" ht="15.75" customHeight="1" s="39"/>
    <row r="718" ht="15.75" customHeight="1" s="39"/>
    <row r="719" ht="15.75" customHeight="1" s="39"/>
    <row r="720" ht="15.75" customHeight="1" s="39"/>
    <row r="721" ht="15.75" customHeight="1" s="39"/>
    <row r="722" ht="15.75" customHeight="1" s="39"/>
    <row r="723" ht="15.75" customHeight="1" s="39"/>
    <row r="724" ht="15.75" customHeight="1" s="39"/>
    <row r="725" ht="15.75" customHeight="1" s="39"/>
    <row r="726" ht="15.75" customHeight="1" s="39"/>
    <row r="727" ht="15.75" customHeight="1" s="39"/>
    <row r="728" ht="15.75" customHeight="1" s="39"/>
    <row r="729" ht="15.75" customHeight="1" s="39"/>
    <row r="730" ht="15.75" customHeight="1" s="39"/>
    <row r="731" ht="15.75" customHeight="1" s="39"/>
    <row r="732" ht="15.75" customHeight="1" s="39"/>
    <row r="733" ht="15.75" customHeight="1" s="39"/>
    <row r="734" ht="15.75" customHeight="1" s="39"/>
    <row r="735" ht="15.75" customHeight="1" s="39"/>
    <row r="736" ht="15.75" customHeight="1" s="39"/>
    <row r="737" ht="15.75" customHeight="1" s="39"/>
    <row r="738" ht="15.75" customHeight="1" s="39"/>
    <row r="739" ht="15.75" customHeight="1" s="39"/>
    <row r="740" ht="15.75" customHeight="1" s="39"/>
    <row r="741" ht="15.75" customHeight="1" s="39"/>
    <row r="742" ht="15.75" customHeight="1" s="39"/>
    <row r="743" ht="15.75" customHeight="1" s="39"/>
    <row r="744" ht="15.75" customHeight="1" s="39"/>
    <row r="745" ht="15.75" customHeight="1" s="39"/>
    <row r="746" ht="15.75" customHeight="1" s="39"/>
    <row r="747" ht="15.75" customHeight="1" s="39"/>
    <row r="748" ht="15.75" customHeight="1" s="39"/>
    <row r="749" ht="15.75" customHeight="1" s="39"/>
    <row r="750" ht="15.75" customHeight="1" s="39"/>
    <row r="751" ht="15.75" customHeight="1" s="39"/>
    <row r="752" ht="15.75" customHeight="1" s="39"/>
    <row r="753" ht="15.75" customHeight="1" s="39"/>
    <row r="754" ht="15.75" customHeight="1" s="39"/>
    <row r="755" ht="15.75" customHeight="1" s="39"/>
    <row r="756" ht="15.75" customHeight="1" s="39"/>
    <row r="757" ht="15.75" customHeight="1" s="39"/>
    <row r="758" ht="15.75" customHeight="1" s="39"/>
    <row r="759" ht="15.75" customHeight="1" s="39"/>
    <row r="760" ht="15.75" customHeight="1" s="39"/>
    <row r="761" ht="15.75" customHeight="1" s="39"/>
    <row r="762" ht="15.75" customHeight="1" s="39"/>
    <row r="763" ht="15.75" customHeight="1" s="39"/>
    <row r="764" ht="15.75" customHeight="1" s="39"/>
    <row r="765" ht="15.75" customHeight="1" s="39"/>
    <row r="766" ht="15.75" customHeight="1" s="39"/>
    <row r="767" ht="15.75" customHeight="1" s="39"/>
    <row r="768" ht="15.75" customHeight="1" s="39"/>
    <row r="769" ht="15.75" customHeight="1" s="39"/>
    <row r="770" ht="15.75" customHeight="1" s="39"/>
    <row r="771" ht="15.75" customHeight="1" s="39"/>
    <row r="772" ht="15.75" customHeight="1" s="39"/>
    <row r="773" ht="15.75" customHeight="1" s="39"/>
    <row r="774" ht="15.75" customHeight="1" s="39"/>
    <row r="775" ht="15.75" customHeight="1" s="39"/>
    <row r="776" ht="15.75" customHeight="1" s="39"/>
    <row r="777" ht="15.75" customHeight="1" s="39"/>
    <row r="778" ht="15.75" customHeight="1" s="39"/>
    <row r="779" ht="15.75" customHeight="1" s="39"/>
    <row r="780" ht="15.75" customHeight="1" s="39"/>
    <row r="781" ht="15.75" customHeight="1" s="39"/>
    <row r="782" ht="15.75" customHeight="1" s="39"/>
    <row r="783" ht="15.75" customHeight="1" s="39"/>
    <row r="784" ht="15.75" customHeight="1" s="39"/>
    <row r="785" ht="15.75" customHeight="1" s="39"/>
    <row r="786" ht="15.75" customHeight="1" s="39"/>
    <row r="787" ht="15.75" customHeight="1" s="39"/>
    <row r="788" ht="15.75" customHeight="1" s="39"/>
    <row r="789" ht="15.75" customHeight="1" s="39"/>
    <row r="790" ht="15.75" customHeight="1" s="39"/>
    <row r="791" ht="15.75" customHeight="1" s="39"/>
    <row r="792" ht="15.75" customHeight="1" s="39"/>
    <row r="793" ht="15.75" customHeight="1" s="39"/>
    <row r="794" ht="15.75" customHeight="1" s="39"/>
    <row r="795" ht="15.75" customHeight="1" s="39"/>
    <row r="796" ht="15.75" customHeight="1" s="39"/>
    <row r="797" ht="15.75" customHeight="1" s="39"/>
    <row r="798" ht="15.75" customHeight="1" s="39"/>
    <row r="799" ht="15.75" customHeight="1" s="39"/>
    <row r="800" ht="15.75" customHeight="1" s="39"/>
    <row r="801" ht="15.75" customHeight="1" s="39"/>
    <row r="802" ht="15.75" customHeight="1" s="39"/>
    <row r="803" ht="15.75" customHeight="1" s="39"/>
    <row r="804" ht="15.75" customHeight="1" s="39"/>
    <row r="805" ht="15.75" customHeight="1" s="39"/>
    <row r="806" ht="15.75" customHeight="1" s="39"/>
    <row r="807" ht="15.75" customHeight="1" s="39"/>
    <row r="808" ht="15.75" customHeight="1" s="39"/>
    <row r="809" ht="15.75" customHeight="1" s="39"/>
    <row r="810" ht="15.75" customHeight="1" s="39"/>
    <row r="811" ht="15.75" customHeight="1" s="39"/>
    <row r="812" ht="15.75" customHeight="1" s="39"/>
    <row r="813" ht="15.75" customHeight="1" s="39"/>
    <row r="814" ht="15.75" customHeight="1" s="39"/>
    <row r="815" ht="15.75" customHeight="1" s="39"/>
    <row r="816" ht="15.75" customHeight="1" s="39"/>
    <row r="817" ht="15.75" customHeight="1" s="39"/>
    <row r="818" ht="15.75" customHeight="1" s="39"/>
    <row r="819" ht="15.75" customHeight="1" s="39"/>
    <row r="820" ht="15.75" customHeight="1" s="39"/>
    <row r="821" ht="15.75" customHeight="1" s="39"/>
    <row r="822" ht="15.75" customHeight="1" s="39"/>
    <row r="823" ht="15.75" customHeight="1" s="39"/>
    <row r="824" ht="15.75" customHeight="1" s="39"/>
    <row r="825" ht="15.75" customHeight="1" s="39"/>
    <row r="826" ht="15.75" customHeight="1" s="39"/>
    <row r="827" ht="15.75" customHeight="1" s="39"/>
    <row r="828" ht="15.75" customHeight="1" s="39"/>
    <row r="829" ht="15.75" customHeight="1" s="39"/>
    <row r="830" ht="15.75" customHeight="1" s="39"/>
    <row r="831" ht="15.75" customHeight="1" s="39"/>
    <row r="832" ht="15.75" customHeight="1" s="39"/>
    <row r="833" ht="15.75" customHeight="1" s="39"/>
    <row r="834" ht="15.75" customHeight="1" s="39"/>
    <row r="835" ht="15.75" customHeight="1" s="39"/>
    <row r="836" ht="15.75" customHeight="1" s="39"/>
    <row r="837" ht="15.75" customHeight="1" s="39"/>
    <row r="838" ht="15.75" customHeight="1" s="39"/>
    <row r="839" ht="15.75" customHeight="1" s="39"/>
    <row r="840" ht="15.75" customHeight="1" s="39"/>
    <row r="841" ht="15.75" customHeight="1" s="39"/>
    <row r="842" ht="15.75" customHeight="1" s="39"/>
    <row r="843" ht="15.75" customHeight="1" s="39"/>
    <row r="844" ht="15.75" customHeight="1" s="39"/>
    <row r="845" ht="15.75" customHeight="1" s="39"/>
    <row r="846" ht="15.75" customHeight="1" s="39"/>
    <row r="847" ht="15.75" customHeight="1" s="39"/>
    <row r="848" ht="15.75" customHeight="1" s="39"/>
    <row r="849" ht="15.75" customHeight="1" s="39"/>
    <row r="850" ht="15.75" customHeight="1" s="39"/>
    <row r="851" ht="15.75" customHeight="1" s="39"/>
    <row r="852" ht="15.75" customHeight="1" s="39"/>
    <row r="853" ht="15.75" customHeight="1" s="39"/>
    <row r="854" ht="15.75" customHeight="1" s="39"/>
    <row r="855" ht="15.75" customHeight="1" s="39"/>
    <row r="856" ht="15.75" customHeight="1" s="39"/>
    <row r="857" ht="15.75" customHeight="1" s="39"/>
    <row r="858" ht="15.75" customHeight="1" s="39"/>
    <row r="859" ht="15.75" customHeight="1" s="39"/>
    <row r="860" ht="15.75" customHeight="1" s="39"/>
    <row r="861" ht="15.75" customHeight="1" s="39"/>
    <row r="862" ht="15.75" customHeight="1" s="39"/>
    <row r="863" ht="15.75" customHeight="1" s="39"/>
    <row r="864" ht="15.75" customHeight="1" s="39"/>
    <row r="865" ht="15.75" customHeight="1" s="39"/>
    <row r="866" ht="15.75" customHeight="1" s="39"/>
    <row r="867" ht="15.75" customHeight="1" s="39"/>
    <row r="868" ht="15.75" customHeight="1" s="39"/>
    <row r="869" ht="15.75" customHeight="1" s="39"/>
    <row r="870" ht="15.75" customHeight="1" s="39"/>
    <row r="871" ht="15.75" customHeight="1" s="39"/>
    <row r="872" ht="15.75" customHeight="1" s="39"/>
    <row r="873" ht="15.75" customHeight="1" s="39"/>
    <row r="874" ht="15.75" customHeight="1" s="39"/>
    <row r="875" ht="15.75" customHeight="1" s="39"/>
    <row r="876" ht="15.75" customHeight="1" s="39"/>
    <row r="877" ht="15.75" customHeight="1" s="39"/>
    <row r="878" ht="15.75" customHeight="1" s="39"/>
    <row r="879" ht="15.75" customHeight="1" s="39"/>
    <row r="880" ht="15.75" customHeight="1" s="39"/>
    <row r="881" ht="15.75" customHeight="1" s="39"/>
    <row r="882" ht="15.75" customHeight="1" s="39"/>
    <row r="883" ht="15.75" customHeight="1" s="39"/>
    <row r="884" ht="15.75" customHeight="1" s="39"/>
    <row r="885" ht="15.75" customHeight="1" s="39"/>
    <row r="886" ht="15.75" customHeight="1" s="39"/>
    <row r="887" ht="15.75" customHeight="1" s="39"/>
    <row r="888" ht="15.75" customHeight="1" s="39"/>
    <row r="889" ht="15.75" customHeight="1" s="39"/>
    <row r="890" ht="15.75" customHeight="1" s="39"/>
    <row r="891" ht="15.75" customHeight="1" s="39"/>
    <row r="892" ht="15.75" customHeight="1" s="39"/>
    <row r="893" ht="15.75" customHeight="1" s="39"/>
    <row r="894" ht="15.75" customHeight="1" s="39"/>
    <row r="895" ht="15.75" customHeight="1" s="39"/>
    <row r="896" ht="15.75" customHeight="1" s="39"/>
    <row r="897" ht="15.75" customHeight="1" s="39"/>
    <row r="898" ht="15.75" customHeight="1" s="39"/>
    <row r="899" ht="15.75" customHeight="1" s="39"/>
    <row r="900" ht="15.75" customHeight="1" s="39"/>
    <row r="901" ht="15.75" customHeight="1" s="39"/>
    <row r="902" ht="15.75" customHeight="1" s="39"/>
    <row r="903" ht="15.75" customHeight="1" s="39"/>
    <row r="904" ht="15.75" customHeight="1" s="39"/>
    <row r="905" ht="15.75" customHeight="1" s="39"/>
    <row r="906" ht="15.75" customHeight="1" s="39"/>
    <row r="907" ht="15.75" customHeight="1" s="39"/>
    <row r="908" ht="15.75" customHeight="1" s="39"/>
    <row r="909" ht="15.75" customHeight="1" s="39"/>
    <row r="910" ht="15.75" customHeight="1" s="39"/>
    <row r="911" ht="15.75" customHeight="1" s="39"/>
    <row r="912" ht="15.75" customHeight="1" s="39"/>
    <row r="913" ht="15.75" customHeight="1" s="39"/>
    <row r="914" ht="15.75" customHeight="1" s="39"/>
    <row r="915" ht="15.75" customHeight="1" s="39"/>
    <row r="916" ht="15.75" customHeight="1" s="39"/>
    <row r="917" ht="15.75" customHeight="1" s="39"/>
    <row r="918" ht="15.75" customHeight="1" s="39"/>
    <row r="919" ht="15.75" customHeight="1" s="39"/>
    <row r="920" ht="15.75" customHeight="1" s="39"/>
    <row r="921" ht="15.75" customHeight="1" s="39"/>
    <row r="922" ht="15.75" customHeight="1" s="39"/>
    <row r="923" ht="15.75" customHeight="1" s="39"/>
    <row r="924" ht="15.75" customHeight="1" s="39"/>
    <row r="925" ht="15.75" customHeight="1" s="39"/>
    <row r="926" ht="15.75" customHeight="1" s="39"/>
    <row r="927" ht="15.75" customHeight="1" s="39"/>
    <row r="928" ht="15.75" customHeight="1" s="39"/>
    <row r="929" ht="15.75" customHeight="1" s="39"/>
    <row r="930" ht="15.75" customHeight="1" s="39"/>
    <row r="931" ht="15.75" customHeight="1" s="39"/>
    <row r="932" ht="15.75" customHeight="1" s="39"/>
    <row r="933" ht="15.75" customHeight="1" s="39"/>
    <row r="934" ht="15.75" customHeight="1" s="39"/>
    <row r="935" ht="15.75" customHeight="1" s="39"/>
    <row r="936" ht="15.75" customHeight="1" s="39"/>
    <row r="937" ht="15.75" customHeight="1" s="39"/>
    <row r="938" ht="15.75" customHeight="1" s="39"/>
    <row r="939" ht="15.75" customHeight="1" s="39"/>
    <row r="940" ht="15.75" customHeight="1" s="39"/>
    <row r="941" ht="15.75" customHeight="1" s="39"/>
    <row r="942" ht="15.75" customHeight="1" s="39"/>
    <row r="943" ht="15.75" customHeight="1" s="39"/>
    <row r="944" ht="15.75" customHeight="1" s="39"/>
    <row r="945" ht="15.75" customHeight="1" s="39"/>
    <row r="946" ht="15.75" customHeight="1" s="39"/>
    <row r="947" ht="15.75" customHeight="1" s="39"/>
    <row r="948" ht="15.75" customHeight="1" s="39"/>
    <row r="949" ht="15.75" customHeight="1" s="39"/>
    <row r="950" ht="15.75" customHeight="1" s="39"/>
    <row r="951" ht="15.75" customHeight="1" s="39"/>
    <row r="952" ht="15.75" customHeight="1" s="39"/>
    <row r="953" ht="15.75" customHeight="1" s="39"/>
    <row r="954" ht="15.75" customHeight="1" s="39"/>
    <row r="955" ht="15.75" customHeight="1" s="39"/>
    <row r="956" ht="15.75" customHeight="1" s="39"/>
    <row r="957" ht="15.75" customHeight="1" s="39"/>
    <row r="958" ht="15.75" customHeight="1" s="39"/>
    <row r="959" ht="15.75" customHeight="1" s="39"/>
    <row r="960" ht="15.75" customHeight="1" s="39"/>
    <row r="961" ht="15.75" customHeight="1" s="39"/>
    <row r="962" ht="15.75" customHeight="1" s="39"/>
    <row r="963" ht="15.75" customHeight="1" s="39"/>
    <row r="964" ht="15.75" customHeight="1" s="39"/>
    <row r="965" ht="15.75" customHeight="1" s="39"/>
    <row r="966" ht="15.75" customHeight="1" s="39"/>
    <row r="967" ht="15.75" customHeight="1" s="39"/>
    <row r="968" ht="15.75" customHeight="1" s="39"/>
    <row r="969" ht="15.75" customHeight="1" s="39"/>
    <row r="970" ht="15.75" customHeight="1" s="39"/>
    <row r="971" ht="15.75" customHeight="1" s="39"/>
    <row r="972" ht="15.75" customHeight="1" s="39"/>
    <row r="973" ht="15.75" customHeight="1" s="39"/>
    <row r="974" ht="15.75" customHeight="1" s="39"/>
    <row r="975" ht="15.75" customHeight="1" s="39"/>
    <row r="976" ht="15.75" customHeight="1" s="39"/>
    <row r="977" ht="15.75" customHeight="1" s="39"/>
    <row r="978" ht="15.75" customHeight="1" s="39"/>
    <row r="979" ht="15.75" customHeight="1" s="39"/>
    <row r="980" ht="15.75" customHeight="1" s="39"/>
    <row r="981" ht="15.75" customHeight="1" s="39"/>
    <row r="982" ht="15.75" customHeight="1" s="39"/>
    <row r="983" ht="15.75" customHeight="1" s="39"/>
    <row r="984" ht="15.75" customHeight="1" s="39"/>
    <row r="985" ht="15.75" customHeight="1" s="39"/>
    <row r="986" ht="15.75" customHeight="1" s="39"/>
    <row r="987" ht="15.75" customHeight="1" s="39"/>
    <row r="988" ht="15.75" customHeight="1" s="39"/>
    <row r="989" ht="15.75" customHeight="1" s="39"/>
    <row r="990" ht="15.75" customHeight="1" s="39"/>
    <row r="991" ht="15.75" customHeight="1" s="39"/>
    <row r="992" ht="15.75" customHeight="1" s="39"/>
    <row r="993" ht="15.75" customHeight="1" s="39"/>
    <row r="994" ht="15.75" customHeight="1" s="39"/>
    <row r="995" ht="15.75" customHeight="1" s="39"/>
    <row r="996" ht="15.75" customHeight="1" s="39"/>
    <row r="997" ht="15.75" customHeight="1" s="39"/>
    <row r="998" ht="15.75" customHeight="1" s="39"/>
    <row r="999" ht="15.75" customHeight="1" s="39"/>
    <row r="1000" ht="15.75" customHeight="1" s="39"/>
  </sheetData>
  <mergeCells count="2">
    <mergeCell ref="A2:N2"/>
    <mergeCell ref="A1:N1"/>
  </mergeCells>
  <conditionalFormatting sqref="C18:M18">
    <cfRule type="cellIs" priority="1" operator="lessThan" dxfId="1">
      <formula>0</formula>
    </cfRule>
    <cfRule type="cellIs" priority="2" operator="greaterThan" dxfId="0">
      <formula>0</formula>
    </cfRule>
  </conditionalFormatting>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ColWidth="14.43" defaultRowHeight="15" customHeight="1"/>
  <cols>
    <col width="38" customWidth="1" style="39" min="1" max="1"/>
    <col width="14" customWidth="1" style="39" min="2" max="3"/>
    <col width="18" customWidth="1" style="39" min="4" max="4"/>
    <col width="10" customWidth="1" style="39" min="5" max="5"/>
    <col width="77.43000000000001" customWidth="1" style="39" min="6" max="6"/>
    <col width="8.710000000000001" customWidth="1" style="39" min="7" max="26"/>
  </cols>
  <sheetData>
    <row r="1">
      <c r="A1" s="16" t="inlineStr">
        <is>
          <t>Compensation &amp; Benefits Tracking</t>
        </is>
      </c>
    </row>
    <row r="2">
      <c r="A2" s="4" t="inlineStr">
        <is>
          <t>Track YTD progress on retirement contributions, FSA, employer match. Update from paystubs (or from Workday/MathWorks portal monthly).</t>
        </is>
      </c>
    </row>
    <row r="4">
      <c r="A4" s="14" t="inlineStr">
        <is>
          <t>MATT (MathWorks)</t>
        </is>
      </c>
      <c r="B4" s="14" t="n"/>
      <c r="C4" s="14" t="n"/>
      <c r="D4" s="14" t="n"/>
      <c r="E4" s="14" t="n"/>
      <c r="F4" s="14" t="n"/>
    </row>
    <row r="5">
      <c r="A5" s="5" t="inlineStr">
        <is>
          <t>Item</t>
        </is>
      </c>
      <c r="B5" s="5" t="inlineStr">
        <is>
          <t>Per pay period</t>
        </is>
      </c>
      <c r="C5" s="5" t="inlineStr">
        <is>
          <t>YTD</t>
        </is>
      </c>
      <c r="D5" s="5" t="inlineStr">
        <is>
          <t>Annual cap (2026)</t>
        </is>
      </c>
      <c r="E5" s="5" t="inlineStr">
        <is>
          <t>% used</t>
        </is>
      </c>
      <c r="F5" s="5" t="inlineStr">
        <is>
          <t>Notes</t>
        </is>
      </c>
    </row>
    <row r="6">
      <c r="A6" s="10" t="inlineStr">
        <is>
          <t>Gross earnings</t>
        </is>
      </c>
      <c r="B6" s="15" t="n"/>
      <c r="C6" s="15" t="n">
        <v>41980</v>
      </c>
      <c r="D6" s="15" t="n"/>
      <c r="F6" s="10" t="inlineStr">
        <is>
          <t>Hourly + OT + Stakeholder + Reimbursements YTD</t>
        </is>
      </c>
    </row>
    <row r="7">
      <c r="A7" s="10" t="inlineStr">
        <is>
          <t>Contribution rate %</t>
        </is>
      </c>
      <c r="B7" s="21" t="n">
        <v>0.23</v>
      </c>
      <c r="C7" s="15" t="n"/>
      <c r="D7" s="15" t="inlineStr">
        <is>
          <t>50% cap</t>
        </is>
      </c>
      <c r="F7" s="10" t="inlineStr">
        <is>
          <t>Auto-increases 1%/yr on May 1 up to 50% cap</t>
        </is>
      </c>
    </row>
    <row r="8">
      <c r="A8" s="10" t="inlineStr">
        <is>
          <t>401k contribution (target)</t>
        </is>
      </c>
      <c r="B8" s="15" t="n"/>
      <c r="C8" s="15" t="n">
        <v>8794.41</v>
      </c>
      <c r="D8" s="15" t="n">
        <v>23500</v>
      </c>
      <c r="F8" s="10" t="inlineStr">
        <is>
          <t>22% of ~$144k = ~$31,800 intended; PLAN AUTO-CAPS at $23,500. Maxes out by ~Sep.</t>
        </is>
      </c>
    </row>
    <row r="9">
      <c r="A9" s="10" t="inlineStr">
        <is>
          <t>401k match (3% baseline, throughout)</t>
        </is>
      </c>
      <c r="B9" s="15" t="n">
        <v>109.92</v>
      </c>
      <c r="C9" s="15" t="n">
        <v>1249.83</v>
      </c>
      <c r="D9" s="15" t="n">
        <v>4338</v>
      </c>
      <c r="F9" s="10" t="inlineStr">
        <is>
          <t>MW matches first 3% of pay; calculated as 3% of $144,612</t>
        </is>
      </c>
    </row>
    <row r="10">
      <c r="A10" s="10" t="inlineStr">
        <is>
          <t>401k match Q4 true-up (3% lump)</t>
        </is>
      </c>
      <c r="B10" s="15" t="n"/>
      <c r="C10" s="15" t="n">
        <v>3164</v>
      </c>
      <c r="D10" s="15" t="n">
        <v>4338</v>
      </c>
      <c r="F10" s="10" t="inlineStr">
        <is>
          <t>MW typically doubles to 6% at year-end (lump in 401k acct, NOT cash)</t>
        </is>
      </c>
    </row>
    <row r="11">
      <c r="A11" s="10" t="inlineStr">
        <is>
          <t>FSA Dep Care</t>
        </is>
      </c>
      <c r="B11" s="15" t="n">
        <v>153.85</v>
      </c>
      <c r="C11" s="15" t="n">
        <v>1538.5</v>
      </c>
      <c r="D11" s="15" t="n">
        <v>4000</v>
      </c>
      <c r="E11" s="21">
        <f>C11/D11</f>
        <v/>
      </c>
      <c r="F11" s="10" t="inlineStr">
        <is>
          <t>Reimbursed when receipts submitted</t>
        </is>
      </c>
    </row>
    <row r="12">
      <c r="A12" s="10" t="inlineStr">
        <is>
          <t>FSA Health Care</t>
        </is>
      </c>
      <c r="B12" s="15" t="n">
        <v>96.15000000000001</v>
      </c>
      <c r="C12" s="15" t="n">
        <v>961.5</v>
      </c>
      <c r="D12" s="15" t="n">
        <v>3300</v>
      </c>
      <c r="E12" s="21">
        <f>C12/D12</f>
        <v/>
      </c>
      <c r="F12" s="10" t="inlineStr">
        <is>
          <t>2026 limit; reimbursed for medical expenses</t>
        </is>
      </c>
    </row>
    <row r="13">
      <c r="A13" s="10" t="inlineStr">
        <is>
          <t>Tuition reimbursement (received)</t>
        </is>
      </c>
      <c r="B13" s="15" t="n"/>
      <c r="C13" s="15" t="n">
        <v>3634</v>
      </c>
      <c r="D13" s="15" t="n">
        <v>5250</v>
      </c>
      <c r="E13" s="21">
        <f>C13/D13</f>
        <v/>
      </c>
      <c r="F13" s="10" t="inlineStr">
        <is>
          <t>IRC §127 tax-free up to $5,250/yr</t>
        </is>
      </c>
    </row>
    <row r="14">
      <c r="A14" s="10" t="inlineStr">
        <is>
          <t>Stakeholder Earnings YTD</t>
        </is>
      </c>
      <c r="B14" s="15" t="n"/>
      <c r="C14" s="15" t="n">
        <v>2964.21</v>
      </c>
      <c r="D14" s="15" t="n"/>
      <c r="F14" s="10" t="inlineStr">
        <is>
          <t>Doubled in Q4 — track when received</t>
        </is>
      </c>
    </row>
    <row r="15">
      <c r="A15" s="10" t="inlineStr">
        <is>
          <t>Q4 stakeholder bonus</t>
        </is>
      </c>
      <c r="B15" s="15" t="n"/>
      <c r="C15" s="15" t="n"/>
      <c r="D15" s="15" t="n"/>
      <c r="F15" s="10" t="inlineStr">
        <is>
          <t>Lump sum, hits checking separately</t>
        </is>
      </c>
    </row>
    <row r="17">
      <c r="A17" s="14" t="inlineStr">
        <is>
          <t>SUE (Sharon Public Schools)</t>
        </is>
      </c>
      <c r="B17" s="14" t="n"/>
      <c r="C17" s="14" t="n"/>
      <c r="D17" s="14" t="n"/>
      <c r="E17" s="14" t="n"/>
      <c r="F17" s="14" t="n"/>
    </row>
    <row r="18">
      <c r="A18" s="5" t="inlineStr">
        <is>
          <t>Item</t>
        </is>
      </c>
      <c r="B18" s="5" t="inlineStr">
        <is>
          <t>Per pay period</t>
        </is>
      </c>
      <c r="C18" s="5" t="inlineStr">
        <is>
          <t>YTD</t>
        </is>
      </c>
      <c r="D18" s="5" t="inlineStr">
        <is>
          <t>Annual cap (2026)</t>
        </is>
      </c>
      <c r="E18" s="5" t="inlineStr">
        <is>
          <t>% used</t>
        </is>
      </c>
      <c r="F18" s="5" t="inlineStr">
        <is>
          <t>Notes</t>
        </is>
      </c>
    </row>
    <row r="19">
      <c r="A19" s="10" t="inlineStr">
        <is>
          <t>MA pension contribution</t>
        </is>
      </c>
      <c r="B19" s="15" t="n"/>
      <c r="C19" s="15" t="n"/>
      <c r="D19" s="15" t="n"/>
      <c r="F19" s="10" t="inlineStr">
        <is>
          <t>Mandatory deduction; not in retirement portfolio</t>
        </is>
      </c>
    </row>
    <row r="20">
      <c r="A20" s="10" t="inlineStr">
        <is>
          <t>403b contribution (Equitable)</t>
        </is>
      </c>
      <c r="B20" s="15" t="n">
        <v>0</v>
      </c>
      <c r="C20" s="15" t="n">
        <v>0</v>
      </c>
      <c r="D20" s="15" t="n">
        <v>23500</v>
      </c>
      <c r="E20" s="21" t="inlineStr">
        <is>
          <t>0</t>
        </is>
      </c>
      <c r="F20" s="10" t="inlineStr">
        <is>
          <t>STOPPED — high fees; consider restart + annual rollover to Fidelity</t>
        </is>
      </c>
    </row>
    <row r="21" ht="15.75" customHeight="1" s="39">
      <c r="A21" s="10" t="inlineStr">
        <is>
          <t>403b match</t>
        </is>
      </c>
      <c r="B21" s="15" t="n"/>
      <c r="C21" s="15" t="n"/>
      <c r="D21" s="15" t="n"/>
      <c r="F21" s="10" t="inlineStr">
        <is>
          <t>Verify if district matches — depends on contract</t>
        </is>
      </c>
    </row>
    <row r="22" ht="15.75" customHeight="1" s="39">
      <c r="A22" s="10" t="inlineStr">
        <is>
          <t>Total retirement %</t>
        </is>
      </c>
      <c r="B22" s="15" t="n"/>
      <c r="C22" s="15" t="n"/>
      <c r="D22" s="15" t="n"/>
      <c r="F22" s="10" t="inlineStr">
        <is>
          <t>Track total Sue retirement savings rate including pension</t>
        </is>
      </c>
    </row>
    <row r="23" ht="15.75" customHeight="1" s="39"/>
    <row r="24" ht="15.75" customHeight="1" s="39">
      <c r="A24" s="14" t="inlineStr">
        <is>
          <t>529 (kids college)</t>
        </is>
      </c>
      <c r="B24" s="14" t="n"/>
      <c r="C24" s="14" t="n"/>
      <c r="D24" s="14" t="n"/>
      <c r="E24" s="14" t="n"/>
      <c r="F24" s="14" t="n"/>
    </row>
    <row r="25" ht="15.75" customHeight="1" s="39">
      <c r="A25" s="5" t="inlineStr">
        <is>
          <t>Item</t>
        </is>
      </c>
      <c r="B25" s="5" t="inlineStr">
        <is>
          <t>Per month</t>
        </is>
      </c>
      <c r="C25" s="5" t="inlineStr">
        <is>
          <t>YTD</t>
        </is>
      </c>
      <c r="D25" s="5" t="inlineStr">
        <is>
          <t>MA tax deduction cap</t>
        </is>
      </c>
      <c r="E25" s="5" t="inlineStr">
        <is>
          <t>% used</t>
        </is>
      </c>
      <c r="F25" s="5" t="inlineStr">
        <is>
          <t>Notes</t>
        </is>
      </c>
    </row>
    <row r="26" ht="15.75" customHeight="1" s="39">
      <c r="A26" s="10" t="inlineStr">
        <is>
          <t>529 contributions</t>
        </is>
      </c>
      <c r="B26" s="15" t="n">
        <v>100</v>
      </c>
      <c r="C26" s="15">
        <f>B26*5</f>
        <v/>
      </c>
      <c r="D26" s="15" t="n">
        <v>2000</v>
      </c>
      <c r="E26" s="21">
        <f>C26/D26</f>
        <v/>
      </c>
      <c r="F26" s="10" t="inlineStr">
        <is>
          <t>MA deducts up to $2k joint (~$100/yr tax savings)</t>
        </is>
      </c>
    </row>
    <row r="27" ht="15.75" customHeight="1" s="39"/>
    <row r="28" ht="15.75" customHeight="1" s="39"/>
    <row r="29" ht="15.75" customHeight="1" s="39"/>
    <row r="30" ht="15.75" customHeight="1" s="39"/>
    <row r="31" ht="15.75" customHeight="1" s="39"/>
    <row r="32" ht="15.75" customHeight="1" s="39"/>
    <row r="33" ht="15.75" customHeight="1" s="39"/>
    <row r="34" ht="15.75" customHeight="1" s="39"/>
    <row r="35" ht="15.75" customHeight="1" s="39"/>
    <row r="36" ht="15.75" customHeight="1" s="39"/>
    <row r="37" ht="15.75" customHeight="1" s="39"/>
    <row r="38" ht="15.75" customHeight="1" s="39"/>
    <row r="39" ht="15.75" customHeight="1" s="39"/>
    <row r="40" ht="15.75" customHeight="1" s="39"/>
    <row r="41" ht="15.75" customHeight="1" s="39"/>
    <row r="42" ht="15.75" customHeight="1" s="39"/>
    <row r="43" ht="15.75" customHeight="1" s="39"/>
    <row r="44" ht="15.75" customHeight="1" s="39"/>
    <row r="45" ht="15.75" customHeight="1" s="39"/>
    <row r="46" ht="15.75" customHeight="1" s="39"/>
    <row r="47" ht="15.75" customHeight="1" s="39"/>
    <row r="48" ht="15.75" customHeight="1" s="39"/>
    <row r="49" ht="15.75" customHeight="1" s="39"/>
    <row r="50" ht="15.75" customHeight="1" s="39"/>
    <row r="51" ht="15.75" customHeight="1" s="39"/>
    <row r="52" ht="15.75" customHeight="1" s="39"/>
    <row r="53" ht="15.75" customHeight="1" s="39"/>
    <row r="54" ht="15.75" customHeight="1" s="39"/>
    <row r="55" ht="15.75" customHeight="1" s="39"/>
    <row r="56" ht="15.75" customHeight="1" s="39"/>
    <row r="57" ht="15.75" customHeight="1" s="39"/>
    <row r="58" ht="15.75" customHeight="1" s="39"/>
    <row r="59" ht="15.75" customHeight="1" s="39"/>
    <row r="60" ht="15.75" customHeight="1" s="39"/>
    <row r="61" ht="15.75" customHeight="1" s="39"/>
    <row r="62" ht="15.75" customHeight="1" s="39"/>
    <row r="63" ht="15.75" customHeight="1" s="39"/>
    <row r="64" ht="15.75" customHeight="1" s="39"/>
    <row r="65" ht="15.75" customHeight="1" s="39"/>
    <row r="66" ht="15.75" customHeight="1" s="39"/>
    <row r="67" ht="15.75" customHeight="1" s="39"/>
    <row r="68" ht="15.75" customHeight="1" s="39"/>
    <row r="69" ht="15.75" customHeight="1" s="39"/>
    <row r="70" ht="15.75" customHeight="1" s="39"/>
    <row r="71" ht="15.75" customHeight="1" s="39"/>
    <row r="72" ht="15.75" customHeight="1" s="39"/>
    <row r="73" ht="15.75" customHeight="1" s="39"/>
    <row r="74" ht="15.75" customHeight="1" s="39"/>
    <row r="75" ht="15.75" customHeight="1" s="39"/>
    <row r="76" ht="15.75" customHeight="1" s="39"/>
    <row r="77" ht="15.75" customHeight="1" s="39"/>
    <row r="78" ht="15.75" customHeight="1" s="39"/>
    <row r="79" ht="15.75" customHeight="1" s="39"/>
    <row r="80" ht="15.75" customHeight="1" s="39"/>
    <row r="81" ht="15.75" customHeight="1" s="39"/>
    <row r="82" ht="15.75" customHeight="1" s="39"/>
    <row r="83" ht="15.75" customHeight="1" s="39"/>
    <row r="84" ht="15.75" customHeight="1" s="39"/>
    <row r="85" ht="15.75" customHeight="1" s="39"/>
    <row r="86" ht="15.75" customHeight="1" s="39"/>
    <row r="87" ht="15.75" customHeight="1" s="39"/>
    <row r="88" ht="15.75" customHeight="1" s="39"/>
    <row r="89" ht="15.75" customHeight="1" s="39"/>
    <row r="90" ht="15.75" customHeight="1" s="39"/>
    <row r="91" ht="15.75" customHeight="1" s="39"/>
    <row r="92" ht="15.75" customHeight="1" s="39"/>
    <row r="93" ht="15.75" customHeight="1" s="39"/>
    <row r="94" ht="15.75" customHeight="1" s="39"/>
    <row r="95" ht="15.75" customHeight="1" s="39"/>
    <row r="96" ht="15.75" customHeight="1" s="39"/>
    <row r="97" ht="15.75" customHeight="1" s="39"/>
    <row r="98" ht="15.75" customHeight="1" s="39"/>
    <row r="99" ht="15.75" customHeight="1" s="39"/>
    <row r="100" ht="15.75" customHeight="1" s="39"/>
    <row r="101" ht="15.75" customHeight="1" s="39"/>
    <row r="102" ht="15.75" customHeight="1" s="39"/>
    <row r="103" ht="15.75" customHeight="1" s="39"/>
    <row r="104" ht="15.75" customHeight="1" s="39"/>
    <row r="105" ht="15.75" customHeight="1" s="39"/>
    <row r="106" ht="15.75" customHeight="1" s="39"/>
    <row r="107" ht="15.75" customHeight="1" s="39"/>
    <row r="108" ht="15.75" customHeight="1" s="39"/>
    <row r="109" ht="15.75" customHeight="1" s="39"/>
    <row r="110" ht="15.75" customHeight="1" s="39"/>
    <row r="111" ht="15.75" customHeight="1" s="39"/>
    <row r="112" ht="15.75" customHeight="1" s="39"/>
    <row r="113" ht="15.75" customHeight="1" s="39"/>
    <row r="114" ht="15.75" customHeight="1" s="39"/>
    <row r="115" ht="15.75" customHeight="1" s="39"/>
    <row r="116" ht="15.75" customHeight="1" s="39"/>
    <row r="117" ht="15.75" customHeight="1" s="39"/>
    <row r="118" ht="15.75" customHeight="1" s="39"/>
    <row r="119" ht="15.75" customHeight="1" s="39"/>
    <row r="120" ht="15.75" customHeight="1" s="39"/>
    <row r="121" ht="15.75" customHeight="1" s="39"/>
    <row r="122" ht="15.75" customHeight="1" s="39"/>
    <row r="123" ht="15.75" customHeight="1" s="39"/>
    <row r="124" ht="15.75" customHeight="1" s="39"/>
    <row r="125" ht="15.75" customHeight="1" s="39"/>
    <row r="126" ht="15.75" customHeight="1" s="39"/>
    <row r="127" ht="15.75" customHeight="1" s="39"/>
    <row r="128" ht="15.75" customHeight="1" s="39"/>
    <row r="129" ht="15.75" customHeight="1" s="39"/>
    <row r="130" ht="15.75" customHeight="1" s="39"/>
    <row r="131" ht="15.75" customHeight="1" s="39"/>
    <row r="132" ht="15.75" customHeight="1" s="39"/>
    <row r="133" ht="15.75" customHeight="1" s="39"/>
    <row r="134" ht="15.75" customHeight="1" s="39"/>
    <row r="135" ht="15.75" customHeight="1" s="39"/>
    <row r="136" ht="15.75" customHeight="1" s="39"/>
    <row r="137" ht="15.75" customHeight="1" s="39"/>
    <row r="138" ht="15.75" customHeight="1" s="39"/>
    <row r="139" ht="15.75" customHeight="1" s="39"/>
    <row r="140" ht="15.75" customHeight="1" s="39"/>
    <row r="141" ht="15.75" customHeight="1" s="39"/>
    <row r="142" ht="15.75" customHeight="1" s="39"/>
    <row r="143" ht="15.75" customHeight="1" s="39"/>
    <row r="144" ht="15.75" customHeight="1" s="39"/>
    <row r="145" ht="15.75" customHeight="1" s="39"/>
    <row r="146" ht="15.75" customHeight="1" s="39"/>
    <row r="147" ht="15.75" customHeight="1" s="39"/>
    <row r="148" ht="15.75" customHeight="1" s="39"/>
    <row r="149" ht="15.75" customHeight="1" s="39"/>
    <row r="150" ht="15.75" customHeight="1" s="39"/>
    <row r="151" ht="15.75" customHeight="1" s="39"/>
    <row r="152" ht="15.75" customHeight="1" s="39"/>
    <row r="153" ht="15.75" customHeight="1" s="39"/>
    <row r="154" ht="15.75" customHeight="1" s="39"/>
    <row r="155" ht="15.75" customHeight="1" s="39"/>
    <row r="156" ht="15.75" customHeight="1" s="39"/>
    <row r="157" ht="15.75" customHeight="1" s="39"/>
    <row r="158" ht="15.75" customHeight="1" s="39"/>
    <row r="159" ht="15.75" customHeight="1" s="39"/>
    <row r="160" ht="15.75" customHeight="1" s="39"/>
    <row r="161" ht="15.75" customHeight="1" s="39"/>
    <row r="162" ht="15.75" customHeight="1" s="39"/>
    <row r="163" ht="15.75" customHeight="1" s="39"/>
    <row r="164" ht="15.75" customHeight="1" s="39"/>
    <row r="165" ht="15.75" customHeight="1" s="39"/>
    <row r="166" ht="15.75" customHeight="1" s="39"/>
    <row r="167" ht="15.75" customHeight="1" s="39"/>
    <row r="168" ht="15.75" customHeight="1" s="39"/>
    <row r="169" ht="15.75" customHeight="1" s="39"/>
    <row r="170" ht="15.75" customHeight="1" s="39"/>
    <row r="171" ht="15.75" customHeight="1" s="39"/>
    <row r="172" ht="15.75" customHeight="1" s="39"/>
    <row r="173" ht="15.75" customHeight="1" s="39"/>
    <row r="174" ht="15.75" customHeight="1" s="39"/>
    <row r="175" ht="15.75" customHeight="1" s="39"/>
    <row r="176" ht="15.75" customHeight="1" s="39"/>
    <row r="177" ht="15.75" customHeight="1" s="39"/>
    <row r="178" ht="15.75" customHeight="1" s="39"/>
    <row r="179" ht="15.75" customHeight="1" s="39"/>
    <row r="180" ht="15.75" customHeight="1" s="39"/>
    <row r="181" ht="15.75" customHeight="1" s="39"/>
    <row r="182" ht="15.75" customHeight="1" s="39"/>
    <row r="183" ht="15.75" customHeight="1" s="39"/>
    <row r="184" ht="15.75" customHeight="1" s="39"/>
    <row r="185" ht="15.75" customHeight="1" s="39"/>
    <row r="186" ht="15.75" customHeight="1" s="39"/>
    <row r="187" ht="15.75" customHeight="1" s="39"/>
    <row r="188" ht="15.75" customHeight="1" s="39"/>
    <row r="189" ht="15.75" customHeight="1" s="39"/>
    <row r="190" ht="15.75" customHeight="1" s="39"/>
    <row r="191" ht="15.75" customHeight="1" s="39"/>
    <row r="192" ht="15.75" customHeight="1" s="39"/>
    <row r="193" ht="15.75" customHeight="1" s="39"/>
    <row r="194" ht="15.75" customHeight="1" s="39"/>
    <row r="195" ht="15.75" customHeight="1" s="39"/>
    <row r="196" ht="15.75" customHeight="1" s="39"/>
    <row r="197" ht="15.75" customHeight="1" s="39"/>
    <row r="198" ht="15.75" customHeight="1" s="39"/>
    <row r="199" ht="15.75" customHeight="1" s="39"/>
    <row r="200" ht="15.75" customHeight="1" s="39"/>
    <row r="201" ht="15.75" customHeight="1" s="39"/>
    <row r="202" ht="15.75" customHeight="1" s="39"/>
    <row r="203" ht="15.75" customHeight="1" s="39"/>
    <row r="204" ht="15.75" customHeight="1" s="39"/>
    <row r="205" ht="15.75" customHeight="1" s="39"/>
    <row r="206" ht="15.75" customHeight="1" s="39"/>
    <row r="207" ht="15.75" customHeight="1" s="39"/>
    <row r="208" ht="15.75" customHeight="1" s="39"/>
    <row r="209" ht="15.75" customHeight="1" s="39"/>
    <row r="210" ht="15.75" customHeight="1" s="39"/>
    <row r="211" ht="15.75" customHeight="1" s="39"/>
    <row r="212" ht="15.75" customHeight="1" s="39"/>
    <row r="213" ht="15.75" customHeight="1" s="39"/>
    <row r="214" ht="15.75" customHeight="1" s="39"/>
    <row r="215" ht="15.75" customHeight="1" s="39"/>
    <row r="216" ht="15.75" customHeight="1" s="39"/>
    <row r="217" ht="15.75" customHeight="1" s="39"/>
    <row r="218" ht="15.75" customHeight="1" s="39"/>
    <row r="219" ht="15.75" customHeight="1" s="39"/>
    <row r="220" ht="15.75" customHeight="1" s="39"/>
    <row r="221" ht="15.75" customHeight="1" s="39"/>
    <row r="222" ht="15.75" customHeight="1" s="39"/>
    <row r="223" ht="15.75" customHeight="1" s="39"/>
    <row r="224" ht="15.75" customHeight="1" s="39"/>
    <row r="225" ht="15.75" customHeight="1" s="39"/>
    <row r="226" ht="15.75" customHeight="1" s="39"/>
    <row r="227" ht="15.75" customHeight="1" s="39"/>
    <row r="228" ht="15.75" customHeight="1" s="39"/>
    <row r="229" ht="15.75" customHeight="1" s="39"/>
    <row r="230" ht="15.75" customHeight="1" s="39"/>
    <row r="231" ht="15.75" customHeight="1" s="39"/>
    <row r="232" ht="15.75" customHeight="1" s="39"/>
    <row r="233" ht="15.75" customHeight="1" s="39"/>
    <row r="234" ht="15.75" customHeight="1" s="39"/>
    <row r="235" ht="15.75" customHeight="1" s="39"/>
    <row r="236" ht="15.75" customHeight="1" s="39"/>
    <row r="237" ht="15.75" customHeight="1" s="39"/>
    <row r="238" ht="15.75" customHeight="1" s="39"/>
    <row r="239" ht="15.75" customHeight="1" s="39"/>
    <row r="240" ht="15.75" customHeight="1" s="39"/>
    <row r="241" ht="15.75" customHeight="1" s="39"/>
    <row r="242" ht="15.75" customHeight="1" s="39"/>
    <row r="243" ht="15.75" customHeight="1" s="39"/>
    <row r="244" ht="15.75" customHeight="1" s="39"/>
    <row r="245" ht="15.75" customHeight="1" s="39"/>
    <row r="246" ht="15.75" customHeight="1" s="39"/>
    <row r="247" ht="15.75" customHeight="1" s="39"/>
    <row r="248" ht="15.75" customHeight="1" s="39"/>
    <row r="249" ht="15.75" customHeight="1" s="39"/>
    <row r="250" ht="15.75" customHeight="1" s="39"/>
    <row r="251" ht="15.75" customHeight="1" s="39"/>
    <row r="252" ht="15.75" customHeight="1" s="39"/>
    <row r="253" ht="15.75" customHeight="1" s="39"/>
    <row r="254" ht="15.75" customHeight="1" s="39"/>
    <row r="255" ht="15.75" customHeight="1" s="39"/>
    <row r="256" ht="15.75" customHeight="1" s="39"/>
    <row r="257" ht="15.75" customHeight="1" s="39"/>
    <row r="258" ht="15.75" customHeight="1" s="39"/>
    <row r="259" ht="15.75" customHeight="1" s="39"/>
    <row r="260" ht="15.75" customHeight="1" s="39"/>
    <row r="261" ht="15.75" customHeight="1" s="39"/>
    <row r="262" ht="15.75" customHeight="1" s="39"/>
    <row r="263" ht="15.75" customHeight="1" s="39"/>
    <row r="264" ht="15.75" customHeight="1" s="39"/>
    <row r="265" ht="15.75" customHeight="1" s="39"/>
    <row r="266" ht="15.75" customHeight="1" s="39"/>
    <row r="267" ht="15.75" customHeight="1" s="39"/>
    <row r="268" ht="15.75" customHeight="1" s="39"/>
    <row r="269" ht="15.75" customHeight="1" s="39"/>
    <row r="270" ht="15.75" customHeight="1" s="39"/>
    <row r="271" ht="15.75" customHeight="1" s="39"/>
    <row r="272" ht="15.75" customHeight="1" s="39"/>
    <row r="273" ht="15.75" customHeight="1" s="39"/>
    <row r="274" ht="15.75" customHeight="1" s="39"/>
    <row r="275" ht="15.75" customHeight="1" s="39"/>
    <row r="276" ht="15.75" customHeight="1" s="39"/>
    <row r="277" ht="15.75" customHeight="1" s="39"/>
    <row r="278" ht="15.75" customHeight="1" s="39"/>
    <row r="279" ht="15.75" customHeight="1" s="39"/>
    <row r="280" ht="15.75" customHeight="1" s="39"/>
    <row r="281" ht="15.75" customHeight="1" s="39"/>
    <row r="282" ht="15.75" customHeight="1" s="39"/>
    <row r="283" ht="15.75" customHeight="1" s="39"/>
    <row r="284" ht="15.75" customHeight="1" s="39"/>
    <row r="285" ht="15.75" customHeight="1" s="39"/>
    <row r="286" ht="15.75" customHeight="1" s="39"/>
    <row r="287" ht="15.75" customHeight="1" s="39"/>
    <row r="288" ht="15.75" customHeight="1" s="39"/>
    <row r="289" ht="15.75" customHeight="1" s="39"/>
    <row r="290" ht="15.75" customHeight="1" s="39"/>
    <row r="291" ht="15.75" customHeight="1" s="39"/>
    <row r="292" ht="15.75" customHeight="1" s="39"/>
    <row r="293" ht="15.75" customHeight="1" s="39"/>
    <row r="294" ht="15.75" customHeight="1" s="39"/>
    <row r="295" ht="15.75" customHeight="1" s="39"/>
    <row r="296" ht="15.75" customHeight="1" s="39"/>
    <row r="297" ht="15.75" customHeight="1" s="39"/>
    <row r="298" ht="15.75" customHeight="1" s="39"/>
    <row r="299" ht="15.75" customHeight="1" s="39"/>
    <row r="300" ht="15.75" customHeight="1" s="39"/>
    <row r="301" ht="15.75" customHeight="1" s="39"/>
    <row r="302" ht="15.75" customHeight="1" s="39"/>
    <row r="303" ht="15.75" customHeight="1" s="39"/>
    <row r="304" ht="15.75" customHeight="1" s="39"/>
    <row r="305" ht="15.75" customHeight="1" s="39"/>
    <row r="306" ht="15.75" customHeight="1" s="39"/>
    <row r="307" ht="15.75" customHeight="1" s="39"/>
    <row r="308" ht="15.75" customHeight="1" s="39"/>
    <row r="309" ht="15.75" customHeight="1" s="39"/>
    <row r="310" ht="15.75" customHeight="1" s="39"/>
    <row r="311" ht="15.75" customHeight="1" s="39"/>
    <row r="312" ht="15.75" customHeight="1" s="39"/>
    <row r="313" ht="15.75" customHeight="1" s="39"/>
    <row r="314" ht="15.75" customHeight="1" s="39"/>
    <row r="315" ht="15.75" customHeight="1" s="39"/>
    <row r="316" ht="15.75" customHeight="1" s="39"/>
    <row r="317" ht="15.75" customHeight="1" s="39"/>
    <row r="318" ht="15.75" customHeight="1" s="39"/>
    <row r="319" ht="15.75" customHeight="1" s="39"/>
    <row r="320" ht="15.75" customHeight="1" s="39"/>
    <row r="321" ht="15.75" customHeight="1" s="39"/>
    <row r="322" ht="15.75" customHeight="1" s="39"/>
    <row r="323" ht="15.75" customHeight="1" s="39"/>
    <row r="324" ht="15.75" customHeight="1" s="39"/>
    <row r="325" ht="15.75" customHeight="1" s="39"/>
    <row r="326" ht="15.75" customHeight="1" s="39"/>
    <row r="327" ht="15.75" customHeight="1" s="39"/>
    <row r="328" ht="15.75" customHeight="1" s="39"/>
    <row r="329" ht="15.75" customHeight="1" s="39"/>
    <row r="330" ht="15.75" customHeight="1" s="39"/>
    <row r="331" ht="15.75" customHeight="1" s="39"/>
    <row r="332" ht="15.75" customHeight="1" s="39"/>
    <row r="333" ht="15.75" customHeight="1" s="39"/>
    <row r="334" ht="15.75" customHeight="1" s="39"/>
    <row r="335" ht="15.75" customHeight="1" s="39"/>
    <row r="336" ht="15.75" customHeight="1" s="39"/>
    <row r="337" ht="15.75" customHeight="1" s="39"/>
    <row r="338" ht="15.75" customHeight="1" s="39"/>
    <row r="339" ht="15.75" customHeight="1" s="39"/>
    <row r="340" ht="15.75" customHeight="1" s="39"/>
    <row r="341" ht="15.75" customHeight="1" s="39"/>
    <row r="342" ht="15.75" customHeight="1" s="39"/>
    <row r="343" ht="15.75" customHeight="1" s="39"/>
    <row r="344" ht="15.75" customHeight="1" s="39"/>
    <row r="345" ht="15.75" customHeight="1" s="39"/>
    <row r="346" ht="15.75" customHeight="1" s="39"/>
    <row r="347" ht="15.75" customHeight="1" s="39"/>
    <row r="348" ht="15.75" customHeight="1" s="39"/>
    <row r="349" ht="15.75" customHeight="1" s="39"/>
    <row r="350" ht="15.75" customHeight="1" s="39"/>
    <row r="351" ht="15.75" customHeight="1" s="39"/>
    <row r="352" ht="15.75" customHeight="1" s="39"/>
    <row r="353" ht="15.75" customHeight="1" s="39"/>
    <row r="354" ht="15.75" customHeight="1" s="39"/>
    <row r="355" ht="15.75" customHeight="1" s="39"/>
    <row r="356" ht="15.75" customHeight="1" s="39"/>
    <row r="357" ht="15.75" customHeight="1" s="39"/>
    <row r="358" ht="15.75" customHeight="1" s="39"/>
    <row r="359" ht="15.75" customHeight="1" s="39"/>
    <row r="360" ht="15.75" customHeight="1" s="39"/>
    <row r="361" ht="15.75" customHeight="1" s="39"/>
    <row r="362" ht="15.75" customHeight="1" s="39"/>
    <row r="363" ht="15.75" customHeight="1" s="39"/>
    <row r="364" ht="15.75" customHeight="1" s="39"/>
    <row r="365" ht="15.75" customHeight="1" s="39"/>
    <row r="366" ht="15.75" customHeight="1" s="39"/>
    <row r="367" ht="15.75" customHeight="1" s="39"/>
    <row r="368" ht="15.75" customHeight="1" s="39"/>
    <row r="369" ht="15.75" customHeight="1" s="39"/>
    <row r="370" ht="15.75" customHeight="1" s="39"/>
    <row r="371" ht="15.75" customHeight="1" s="39"/>
    <row r="372" ht="15.75" customHeight="1" s="39"/>
    <row r="373" ht="15.75" customHeight="1" s="39"/>
    <row r="374" ht="15.75" customHeight="1" s="39"/>
    <row r="375" ht="15.75" customHeight="1" s="39"/>
    <row r="376" ht="15.75" customHeight="1" s="39"/>
    <row r="377" ht="15.75" customHeight="1" s="39"/>
    <row r="378" ht="15.75" customHeight="1" s="39"/>
    <row r="379" ht="15.75" customHeight="1" s="39"/>
    <row r="380" ht="15.75" customHeight="1" s="39"/>
    <row r="381" ht="15.75" customHeight="1" s="39"/>
    <row r="382" ht="15.75" customHeight="1" s="39"/>
    <row r="383" ht="15.75" customHeight="1" s="39"/>
    <row r="384" ht="15.75" customHeight="1" s="39"/>
    <row r="385" ht="15.75" customHeight="1" s="39"/>
    <row r="386" ht="15.75" customHeight="1" s="39"/>
    <row r="387" ht="15.75" customHeight="1" s="39"/>
    <row r="388" ht="15.75" customHeight="1" s="39"/>
    <row r="389" ht="15.75" customHeight="1" s="39"/>
    <row r="390" ht="15.75" customHeight="1" s="39"/>
    <row r="391" ht="15.75" customHeight="1" s="39"/>
    <row r="392" ht="15.75" customHeight="1" s="39"/>
    <row r="393" ht="15.75" customHeight="1" s="39"/>
    <row r="394" ht="15.75" customHeight="1" s="39"/>
    <row r="395" ht="15.75" customHeight="1" s="39"/>
    <row r="396" ht="15.75" customHeight="1" s="39"/>
    <row r="397" ht="15.75" customHeight="1" s="39"/>
    <row r="398" ht="15.75" customHeight="1" s="39"/>
    <row r="399" ht="15.75" customHeight="1" s="39"/>
    <row r="400" ht="15.75" customHeight="1" s="39"/>
    <row r="401" ht="15.75" customHeight="1" s="39"/>
    <row r="402" ht="15.75" customHeight="1" s="39"/>
    <row r="403" ht="15.75" customHeight="1" s="39"/>
    <row r="404" ht="15.75" customHeight="1" s="39"/>
    <row r="405" ht="15.75" customHeight="1" s="39"/>
    <row r="406" ht="15.75" customHeight="1" s="39"/>
    <row r="407" ht="15.75" customHeight="1" s="39"/>
    <row r="408" ht="15.75" customHeight="1" s="39"/>
    <row r="409" ht="15.75" customHeight="1" s="39"/>
    <row r="410" ht="15.75" customHeight="1" s="39"/>
    <row r="411" ht="15.75" customHeight="1" s="39"/>
    <row r="412" ht="15.75" customHeight="1" s="39"/>
    <row r="413" ht="15.75" customHeight="1" s="39"/>
    <row r="414" ht="15.75" customHeight="1" s="39"/>
    <row r="415" ht="15.75" customHeight="1" s="39"/>
    <row r="416" ht="15.75" customHeight="1" s="39"/>
    <row r="417" ht="15.75" customHeight="1" s="39"/>
    <row r="418" ht="15.75" customHeight="1" s="39"/>
    <row r="419" ht="15.75" customHeight="1" s="39"/>
    <row r="420" ht="15.75" customHeight="1" s="39"/>
    <row r="421" ht="15.75" customHeight="1" s="39"/>
    <row r="422" ht="15.75" customHeight="1" s="39"/>
    <row r="423" ht="15.75" customHeight="1" s="39"/>
    <row r="424" ht="15.75" customHeight="1" s="39"/>
    <row r="425" ht="15.75" customHeight="1" s="39"/>
    <row r="426" ht="15.75" customHeight="1" s="39"/>
    <row r="427" ht="15.75" customHeight="1" s="39"/>
    <row r="428" ht="15.75" customHeight="1" s="39"/>
    <row r="429" ht="15.75" customHeight="1" s="39"/>
    <row r="430" ht="15.75" customHeight="1" s="39"/>
    <row r="431" ht="15.75" customHeight="1" s="39"/>
    <row r="432" ht="15.75" customHeight="1" s="39"/>
    <row r="433" ht="15.75" customHeight="1" s="39"/>
    <row r="434" ht="15.75" customHeight="1" s="39"/>
    <row r="435" ht="15.75" customHeight="1" s="39"/>
    <row r="436" ht="15.75" customHeight="1" s="39"/>
    <row r="437" ht="15.75" customHeight="1" s="39"/>
    <row r="438" ht="15.75" customHeight="1" s="39"/>
    <row r="439" ht="15.75" customHeight="1" s="39"/>
    <row r="440" ht="15.75" customHeight="1" s="39"/>
    <row r="441" ht="15.75" customHeight="1" s="39"/>
    <row r="442" ht="15.75" customHeight="1" s="39"/>
    <row r="443" ht="15.75" customHeight="1" s="39"/>
    <row r="444" ht="15.75" customHeight="1" s="39"/>
    <row r="445" ht="15.75" customHeight="1" s="39"/>
    <row r="446" ht="15.75" customHeight="1" s="39"/>
    <row r="447" ht="15.75" customHeight="1" s="39"/>
    <row r="448" ht="15.75" customHeight="1" s="39"/>
    <row r="449" ht="15.75" customHeight="1" s="39"/>
    <row r="450" ht="15.75" customHeight="1" s="39"/>
    <row r="451" ht="15.75" customHeight="1" s="39"/>
    <row r="452" ht="15.75" customHeight="1" s="39"/>
    <row r="453" ht="15.75" customHeight="1" s="39"/>
    <row r="454" ht="15.75" customHeight="1" s="39"/>
    <row r="455" ht="15.75" customHeight="1" s="39"/>
    <row r="456" ht="15.75" customHeight="1" s="39"/>
    <row r="457" ht="15.75" customHeight="1" s="39"/>
    <row r="458" ht="15.75" customHeight="1" s="39"/>
    <row r="459" ht="15.75" customHeight="1" s="39"/>
    <row r="460" ht="15.75" customHeight="1" s="39"/>
    <row r="461" ht="15.75" customHeight="1" s="39"/>
    <row r="462" ht="15.75" customHeight="1" s="39"/>
    <row r="463" ht="15.75" customHeight="1" s="39"/>
    <row r="464" ht="15.75" customHeight="1" s="39"/>
    <row r="465" ht="15.75" customHeight="1" s="39"/>
    <row r="466" ht="15.75" customHeight="1" s="39"/>
    <row r="467" ht="15.75" customHeight="1" s="39"/>
    <row r="468" ht="15.75" customHeight="1" s="39"/>
    <row r="469" ht="15.75" customHeight="1" s="39"/>
    <row r="470" ht="15.75" customHeight="1" s="39"/>
    <row r="471" ht="15.75" customHeight="1" s="39"/>
    <row r="472" ht="15.75" customHeight="1" s="39"/>
    <row r="473" ht="15.75" customHeight="1" s="39"/>
    <row r="474" ht="15.75" customHeight="1" s="39"/>
    <row r="475" ht="15.75" customHeight="1" s="39"/>
    <row r="476" ht="15.75" customHeight="1" s="39"/>
    <row r="477" ht="15.75" customHeight="1" s="39"/>
    <row r="478" ht="15.75" customHeight="1" s="39"/>
    <row r="479" ht="15.75" customHeight="1" s="39"/>
    <row r="480" ht="15.75" customHeight="1" s="39"/>
    <row r="481" ht="15.75" customHeight="1" s="39"/>
    <row r="482" ht="15.75" customHeight="1" s="39"/>
    <row r="483" ht="15.75" customHeight="1" s="39"/>
    <row r="484" ht="15.75" customHeight="1" s="39"/>
    <row r="485" ht="15.75" customHeight="1" s="39"/>
    <row r="486" ht="15.75" customHeight="1" s="39"/>
    <row r="487" ht="15.75" customHeight="1" s="39"/>
    <row r="488" ht="15.75" customHeight="1" s="39"/>
    <row r="489" ht="15.75" customHeight="1" s="39"/>
    <row r="490" ht="15.75" customHeight="1" s="39"/>
    <row r="491" ht="15.75" customHeight="1" s="39"/>
    <row r="492" ht="15.75" customHeight="1" s="39"/>
    <row r="493" ht="15.75" customHeight="1" s="39"/>
    <row r="494" ht="15.75" customHeight="1" s="39"/>
    <row r="495" ht="15.75" customHeight="1" s="39"/>
    <row r="496" ht="15.75" customHeight="1" s="39"/>
    <row r="497" ht="15.75" customHeight="1" s="39"/>
    <row r="498" ht="15.75" customHeight="1" s="39"/>
    <row r="499" ht="15.75" customHeight="1" s="39"/>
    <row r="500" ht="15.75" customHeight="1" s="39"/>
    <row r="501" ht="15.75" customHeight="1" s="39"/>
    <row r="502" ht="15.75" customHeight="1" s="39"/>
    <row r="503" ht="15.75" customHeight="1" s="39"/>
    <row r="504" ht="15.75" customHeight="1" s="39"/>
    <row r="505" ht="15.75" customHeight="1" s="39"/>
    <row r="506" ht="15.75" customHeight="1" s="39"/>
    <row r="507" ht="15.75" customHeight="1" s="39"/>
    <row r="508" ht="15.75" customHeight="1" s="39"/>
    <row r="509" ht="15.75" customHeight="1" s="39"/>
    <row r="510" ht="15.75" customHeight="1" s="39"/>
    <row r="511" ht="15.75" customHeight="1" s="39"/>
    <row r="512" ht="15.75" customHeight="1" s="39"/>
    <row r="513" ht="15.75" customHeight="1" s="39"/>
    <row r="514" ht="15.75" customHeight="1" s="39"/>
    <row r="515" ht="15.75" customHeight="1" s="39"/>
    <row r="516" ht="15.75" customHeight="1" s="39"/>
    <row r="517" ht="15.75" customHeight="1" s="39"/>
    <row r="518" ht="15.75" customHeight="1" s="39"/>
    <row r="519" ht="15.75" customHeight="1" s="39"/>
    <row r="520" ht="15.75" customHeight="1" s="39"/>
    <row r="521" ht="15.75" customHeight="1" s="39"/>
    <row r="522" ht="15.75" customHeight="1" s="39"/>
    <row r="523" ht="15.75" customHeight="1" s="39"/>
    <row r="524" ht="15.75" customHeight="1" s="39"/>
    <row r="525" ht="15.75" customHeight="1" s="39"/>
    <row r="526" ht="15.75" customHeight="1" s="39"/>
    <row r="527" ht="15.75" customHeight="1" s="39"/>
    <row r="528" ht="15.75" customHeight="1" s="39"/>
    <row r="529" ht="15.75" customHeight="1" s="39"/>
    <row r="530" ht="15.75" customHeight="1" s="39"/>
    <row r="531" ht="15.75" customHeight="1" s="39"/>
    <row r="532" ht="15.75" customHeight="1" s="39"/>
    <row r="533" ht="15.75" customHeight="1" s="39"/>
    <row r="534" ht="15.75" customHeight="1" s="39"/>
    <row r="535" ht="15.75" customHeight="1" s="39"/>
    <row r="536" ht="15.75" customHeight="1" s="39"/>
    <row r="537" ht="15.75" customHeight="1" s="39"/>
    <row r="538" ht="15.75" customHeight="1" s="39"/>
    <row r="539" ht="15.75" customHeight="1" s="39"/>
    <row r="540" ht="15.75" customHeight="1" s="39"/>
    <row r="541" ht="15.75" customHeight="1" s="39"/>
    <row r="542" ht="15.75" customHeight="1" s="39"/>
    <row r="543" ht="15.75" customHeight="1" s="39"/>
    <row r="544" ht="15.75" customHeight="1" s="39"/>
    <row r="545" ht="15.75" customHeight="1" s="39"/>
    <row r="546" ht="15.75" customHeight="1" s="39"/>
    <row r="547" ht="15.75" customHeight="1" s="39"/>
    <row r="548" ht="15.75" customHeight="1" s="39"/>
    <row r="549" ht="15.75" customHeight="1" s="39"/>
    <row r="550" ht="15.75" customHeight="1" s="39"/>
    <row r="551" ht="15.75" customHeight="1" s="39"/>
    <row r="552" ht="15.75" customHeight="1" s="39"/>
    <row r="553" ht="15.75" customHeight="1" s="39"/>
    <row r="554" ht="15.75" customHeight="1" s="39"/>
    <row r="555" ht="15.75" customHeight="1" s="39"/>
    <row r="556" ht="15.75" customHeight="1" s="39"/>
    <row r="557" ht="15.75" customHeight="1" s="39"/>
    <row r="558" ht="15.75" customHeight="1" s="39"/>
    <row r="559" ht="15.75" customHeight="1" s="39"/>
    <row r="560" ht="15.75" customHeight="1" s="39"/>
    <row r="561" ht="15.75" customHeight="1" s="39"/>
    <row r="562" ht="15.75" customHeight="1" s="39"/>
    <row r="563" ht="15.75" customHeight="1" s="39"/>
    <row r="564" ht="15.75" customHeight="1" s="39"/>
    <row r="565" ht="15.75" customHeight="1" s="39"/>
    <row r="566" ht="15.75" customHeight="1" s="39"/>
    <row r="567" ht="15.75" customHeight="1" s="39"/>
    <row r="568" ht="15.75" customHeight="1" s="39"/>
    <row r="569" ht="15.75" customHeight="1" s="39"/>
    <row r="570" ht="15.75" customHeight="1" s="39"/>
    <row r="571" ht="15.75" customHeight="1" s="39"/>
    <row r="572" ht="15.75" customHeight="1" s="39"/>
    <row r="573" ht="15.75" customHeight="1" s="39"/>
    <row r="574" ht="15.75" customHeight="1" s="39"/>
    <row r="575" ht="15.75" customHeight="1" s="39"/>
    <row r="576" ht="15.75" customHeight="1" s="39"/>
    <row r="577" ht="15.75" customHeight="1" s="39"/>
    <row r="578" ht="15.75" customHeight="1" s="39"/>
    <row r="579" ht="15.75" customHeight="1" s="39"/>
    <row r="580" ht="15.75" customHeight="1" s="39"/>
    <row r="581" ht="15.75" customHeight="1" s="39"/>
    <row r="582" ht="15.75" customHeight="1" s="39"/>
    <row r="583" ht="15.75" customHeight="1" s="39"/>
    <row r="584" ht="15.75" customHeight="1" s="39"/>
    <row r="585" ht="15.75" customHeight="1" s="39"/>
    <row r="586" ht="15.75" customHeight="1" s="39"/>
    <row r="587" ht="15.75" customHeight="1" s="39"/>
    <row r="588" ht="15.75" customHeight="1" s="39"/>
    <row r="589" ht="15.75" customHeight="1" s="39"/>
    <row r="590" ht="15.75" customHeight="1" s="39"/>
    <row r="591" ht="15.75" customHeight="1" s="39"/>
    <row r="592" ht="15.75" customHeight="1" s="39"/>
    <row r="593" ht="15.75" customHeight="1" s="39"/>
    <row r="594" ht="15.75" customHeight="1" s="39"/>
    <row r="595" ht="15.75" customHeight="1" s="39"/>
    <row r="596" ht="15.75" customHeight="1" s="39"/>
    <row r="597" ht="15.75" customHeight="1" s="39"/>
    <row r="598" ht="15.75" customHeight="1" s="39"/>
    <row r="599" ht="15.75" customHeight="1" s="39"/>
    <row r="600" ht="15.75" customHeight="1" s="39"/>
    <row r="601" ht="15.75" customHeight="1" s="39"/>
    <row r="602" ht="15.75" customHeight="1" s="39"/>
    <row r="603" ht="15.75" customHeight="1" s="39"/>
    <row r="604" ht="15.75" customHeight="1" s="39"/>
    <row r="605" ht="15.75" customHeight="1" s="39"/>
    <row r="606" ht="15.75" customHeight="1" s="39"/>
    <row r="607" ht="15.75" customHeight="1" s="39"/>
    <row r="608" ht="15.75" customHeight="1" s="39"/>
    <row r="609" ht="15.75" customHeight="1" s="39"/>
    <row r="610" ht="15.75" customHeight="1" s="39"/>
    <row r="611" ht="15.75" customHeight="1" s="39"/>
    <row r="612" ht="15.75" customHeight="1" s="39"/>
    <row r="613" ht="15.75" customHeight="1" s="39"/>
    <row r="614" ht="15.75" customHeight="1" s="39"/>
    <row r="615" ht="15.75" customHeight="1" s="39"/>
    <row r="616" ht="15.75" customHeight="1" s="39"/>
    <row r="617" ht="15.75" customHeight="1" s="39"/>
    <row r="618" ht="15.75" customHeight="1" s="39"/>
    <row r="619" ht="15.75" customHeight="1" s="39"/>
    <row r="620" ht="15.75" customHeight="1" s="39"/>
    <row r="621" ht="15.75" customHeight="1" s="39"/>
    <row r="622" ht="15.75" customHeight="1" s="39"/>
    <row r="623" ht="15.75" customHeight="1" s="39"/>
    <row r="624" ht="15.75" customHeight="1" s="39"/>
    <row r="625" ht="15.75" customHeight="1" s="39"/>
    <row r="626" ht="15.75" customHeight="1" s="39"/>
    <row r="627" ht="15.75" customHeight="1" s="39"/>
    <row r="628" ht="15.75" customHeight="1" s="39"/>
    <row r="629" ht="15.75" customHeight="1" s="39"/>
    <row r="630" ht="15.75" customHeight="1" s="39"/>
    <row r="631" ht="15.75" customHeight="1" s="39"/>
    <row r="632" ht="15.75" customHeight="1" s="39"/>
    <row r="633" ht="15.75" customHeight="1" s="39"/>
    <row r="634" ht="15.75" customHeight="1" s="39"/>
    <row r="635" ht="15.75" customHeight="1" s="39"/>
    <row r="636" ht="15.75" customHeight="1" s="39"/>
    <row r="637" ht="15.75" customHeight="1" s="39"/>
    <row r="638" ht="15.75" customHeight="1" s="39"/>
    <row r="639" ht="15.75" customHeight="1" s="39"/>
    <row r="640" ht="15.75" customHeight="1" s="39"/>
    <row r="641" ht="15.75" customHeight="1" s="39"/>
    <row r="642" ht="15.75" customHeight="1" s="39"/>
    <row r="643" ht="15.75" customHeight="1" s="39"/>
    <row r="644" ht="15.75" customHeight="1" s="39"/>
    <row r="645" ht="15.75" customHeight="1" s="39"/>
    <row r="646" ht="15.75" customHeight="1" s="39"/>
    <row r="647" ht="15.75" customHeight="1" s="39"/>
    <row r="648" ht="15.75" customHeight="1" s="39"/>
    <row r="649" ht="15.75" customHeight="1" s="39"/>
    <row r="650" ht="15.75" customHeight="1" s="39"/>
    <row r="651" ht="15.75" customHeight="1" s="39"/>
    <row r="652" ht="15.75" customHeight="1" s="39"/>
    <row r="653" ht="15.75" customHeight="1" s="39"/>
    <row r="654" ht="15.75" customHeight="1" s="39"/>
    <row r="655" ht="15.75" customHeight="1" s="39"/>
    <row r="656" ht="15.75" customHeight="1" s="39"/>
    <row r="657" ht="15.75" customHeight="1" s="39"/>
    <row r="658" ht="15.75" customHeight="1" s="39"/>
    <row r="659" ht="15.75" customHeight="1" s="39"/>
    <row r="660" ht="15.75" customHeight="1" s="39"/>
    <row r="661" ht="15.75" customHeight="1" s="39"/>
    <row r="662" ht="15.75" customHeight="1" s="39"/>
    <row r="663" ht="15.75" customHeight="1" s="39"/>
    <row r="664" ht="15.75" customHeight="1" s="39"/>
    <row r="665" ht="15.75" customHeight="1" s="39"/>
    <row r="666" ht="15.75" customHeight="1" s="39"/>
    <row r="667" ht="15.75" customHeight="1" s="39"/>
    <row r="668" ht="15.75" customHeight="1" s="39"/>
    <row r="669" ht="15.75" customHeight="1" s="39"/>
    <row r="670" ht="15.75" customHeight="1" s="39"/>
    <row r="671" ht="15.75" customHeight="1" s="39"/>
    <row r="672" ht="15.75" customHeight="1" s="39"/>
    <row r="673" ht="15.75" customHeight="1" s="39"/>
    <row r="674" ht="15.75" customHeight="1" s="39"/>
    <row r="675" ht="15.75" customHeight="1" s="39"/>
    <row r="676" ht="15.75" customHeight="1" s="39"/>
    <row r="677" ht="15.75" customHeight="1" s="39"/>
    <row r="678" ht="15.75" customHeight="1" s="39"/>
    <row r="679" ht="15.75" customHeight="1" s="39"/>
    <row r="680" ht="15.75" customHeight="1" s="39"/>
    <row r="681" ht="15.75" customHeight="1" s="39"/>
    <row r="682" ht="15.75" customHeight="1" s="39"/>
    <row r="683" ht="15.75" customHeight="1" s="39"/>
    <row r="684" ht="15.75" customHeight="1" s="39"/>
    <row r="685" ht="15.75" customHeight="1" s="39"/>
    <row r="686" ht="15.75" customHeight="1" s="39"/>
    <row r="687" ht="15.75" customHeight="1" s="39"/>
    <row r="688" ht="15.75" customHeight="1" s="39"/>
    <row r="689" ht="15.75" customHeight="1" s="39"/>
    <row r="690" ht="15.75" customHeight="1" s="39"/>
    <row r="691" ht="15.75" customHeight="1" s="39"/>
    <row r="692" ht="15.75" customHeight="1" s="39"/>
    <row r="693" ht="15.75" customHeight="1" s="39"/>
    <row r="694" ht="15.75" customHeight="1" s="39"/>
    <row r="695" ht="15.75" customHeight="1" s="39"/>
    <row r="696" ht="15.75" customHeight="1" s="39"/>
    <row r="697" ht="15.75" customHeight="1" s="39"/>
    <row r="698" ht="15.75" customHeight="1" s="39"/>
    <row r="699" ht="15.75" customHeight="1" s="39"/>
    <row r="700" ht="15.75" customHeight="1" s="39"/>
    <row r="701" ht="15.75" customHeight="1" s="39"/>
    <row r="702" ht="15.75" customHeight="1" s="39"/>
    <row r="703" ht="15.75" customHeight="1" s="39"/>
    <row r="704" ht="15.75" customHeight="1" s="39"/>
    <row r="705" ht="15.75" customHeight="1" s="39"/>
    <row r="706" ht="15.75" customHeight="1" s="39"/>
    <row r="707" ht="15.75" customHeight="1" s="39"/>
    <row r="708" ht="15.75" customHeight="1" s="39"/>
    <row r="709" ht="15.75" customHeight="1" s="39"/>
    <row r="710" ht="15.75" customHeight="1" s="39"/>
    <row r="711" ht="15.75" customHeight="1" s="39"/>
    <row r="712" ht="15.75" customHeight="1" s="39"/>
    <row r="713" ht="15.75" customHeight="1" s="39"/>
    <row r="714" ht="15.75" customHeight="1" s="39"/>
    <row r="715" ht="15.75" customHeight="1" s="39"/>
    <row r="716" ht="15.75" customHeight="1" s="39"/>
    <row r="717" ht="15.75" customHeight="1" s="39"/>
    <row r="718" ht="15.75" customHeight="1" s="39"/>
    <row r="719" ht="15.75" customHeight="1" s="39"/>
    <row r="720" ht="15.75" customHeight="1" s="39"/>
    <row r="721" ht="15.75" customHeight="1" s="39"/>
    <row r="722" ht="15.75" customHeight="1" s="39"/>
    <row r="723" ht="15.75" customHeight="1" s="39"/>
    <row r="724" ht="15.75" customHeight="1" s="39"/>
    <row r="725" ht="15.75" customHeight="1" s="39"/>
    <row r="726" ht="15.75" customHeight="1" s="39"/>
    <row r="727" ht="15.75" customHeight="1" s="39"/>
    <row r="728" ht="15.75" customHeight="1" s="39"/>
    <row r="729" ht="15.75" customHeight="1" s="39"/>
    <row r="730" ht="15.75" customHeight="1" s="39"/>
    <row r="731" ht="15.75" customHeight="1" s="39"/>
    <row r="732" ht="15.75" customHeight="1" s="39"/>
    <row r="733" ht="15.75" customHeight="1" s="39"/>
    <row r="734" ht="15.75" customHeight="1" s="39"/>
    <row r="735" ht="15.75" customHeight="1" s="39"/>
    <row r="736" ht="15.75" customHeight="1" s="39"/>
    <row r="737" ht="15.75" customHeight="1" s="39"/>
    <row r="738" ht="15.75" customHeight="1" s="39"/>
    <row r="739" ht="15.75" customHeight="1" s="39"/>
    <row r="740" ht="15.75" customHeight="1" s="39"/>
    <row r="741" ht="15.75" customHeight="1" s="39"/>
    <row r="742" ht="15.75" customHeight="1" s="39"/>
    <row r="743" ht="15.75" customHeight="1" s="39"/>
    <row r="744" ht="15.75" customHeight="1" s="39"/>
    <row r="745" ht="15.75" customHeight="1" s="39"/>
    <row r="746" ht="15.75" customHeight="1" s="39"/>
    <row r="747" ht="15.75" customHeight="1" s="39"/>
    <row r="748" ht="15.75" customHeight="1" s="39"/>
    <row r="749" ht="15.75" customHeight="1" s="39"/>
    <row r="750" ht="15.75" customHeight="1" s="39"/>
    <row r="751" ht="15.75" customHeight="1" s="39"/>
    <row r="752" ht="15.75" customHeight="1" s="39"/>
    <row r="753" ht="15.75" customHeight="1" s="39"/>
    <row r="754" ht="15.75" customHeight="1" s="39"/>
    <row r="755" ht="15.75" customHeight="1" s="39"/>
    <row r="756" ht="15.75" customHeight="1" s="39"/>
    <row r="757" ht="15.75" customHeight="1" s="39"/>
    <row r="758" ht="15.75" customHeight="1" s="39"/>
    <row r="759" ht="15.75" customHeight="1" s="39"/>
    <row r="760" ht="15.75" customHeight="1" s="39"/>
    <row r="761" ht="15.75" customHeight="1" s="39"/>
    <row r="762" ht="15.75" customHeight="1" s="39"/>
    <row r="763" ht="15.75" customHeight="1" s="39"/>
    <row r="764" ht="15.75" customHeight="1" s="39"/>
    <row r="765" ht="15.75" customHeight="1" s="39"/>
    <row r="766" ht="15.75" customHeight="1" s="39"/>
    <row r="767" ht="15.75" customHeight="1" s="39"/>
    <row r="768" ht="15.75" customHeight="1" s="39"/>
    <row r="769" ht="15.75" customHeight="1" s="39"/>
    <row r="770" ht="15.75" customHeight="1" s="39"/>
    <row r="771" ht="15.75" customHeight="1" s="39"/>
    <row r="772" ht="15.75" customHeight="1" s="39"/>
    <row r="773" ht="15.75" customHeight="1" s="39"/>
    <row r="774" ht="15.75" customHeight="1" s="39"/>
    <row r="775" ht="15.75" customHeight="1" s="39"/>
    <row r="776" ht="15.75" customHeight="1" s="39"/>
    <row r="777" ht="15.75" customHeight="1" s="39"/>
    <row r="778" ht="15.75" customHeight="1" s="39"/>
    <row r="779" ht="15.75" customHeight="1" s="39"/>
    <row r="780" ht="15.75" customHeight="1" s="39"/>
    <row r="781" ht="15.75" customHeight="1" s="39"/>
    <row r="782" ht="15.75" customHeight="1" s="39"/>
    <row r="783" ht="15.75" customHeight="1" s="39"/>
    <row r="784" ht="15.75" customHeight="1" s="39"/>
    <row r="785" ht="15.75" customHeight="1" s="39"/>
    <row r="786" ht="15.75" customHeight="1" s="39"/>
    <row r="787" ht="15.75" customHeight="1" s="39"/>
    <row r="788" ht="15.75" customHeight="1" s="39"/>
    <row r="789" ht="15.75" customHeight="1" s="39"/>
    <row r="790" ht="15.75" customHeight="1" s="39"/>
    <row r="791" ht="15.75" customHeight="1" s="39"/>
    <row r="792" ht="15.75" customHeight="1" s="39"/>
    <row r="793" ht="15.75" customHeight="1" s="39"/>
    <row r="794" ht="15.75" customHeight="1" s="39"/>
    <row r="795" ht="15.75" customHeight="1" s="39"/>
    <row r="796" ht="15.75" customHeight="1" s="39"/>
    <row r="797" ht="15.75" customHeight="1" s="39"/>
    <row r="798" ht="15.75" customHeight="1" s="39"/>
    <row r="799" ht="15.75" customHeight="1" s="39"/>
    <row r="800" ht="15.75" customHeight="1" s="39"/>
    <row r="801" ht="15.75" customHeight="1" s="39"/>
    <row r="802" ht="15.75" customHeight="1" s="39"/>
    <row r="803" ht="15.75" customHeight="1" s="39"/>
    <row r="804" ht="15.75" customHeight="1" s="39"/>
    <row r="805" ht="15.75" customHeight="1" s="39"/>
    <row r="806" ht="15.75" customHeight="1" s="39"/>
    <row r="807" ht="15.75" customHeight="1" s="39"/>
    <row r="808" ht="15.75" customHeight="1" s="39"/>
    <row r="809" ht="15.75" customHeight="1" s="39"/>
    <row r="810" ht="15.75" customHeight="1" s="39"/>
    <row r="811" ht="15.75" customHeight="1" s="39"/>
    <row r="812" ht="15.75" customHeight="1" s="39"/>
    <row r="813" ht="15.75" customHeight="1" s="39"/>
    <row r="814" ht="15.75" customHeight="1" s="39"/>
    <row r="815" ht="15.75" customHeight="1" s="39"/>
    <row r="816" ht="15.75" customHeight="1" s="39"/>
    <row r="817" ht="15.75" customHeight="1" s="39"/>
    <row r="818" ht="15.75" customHeight="1" s="39"/>
    <row r="819" ht="15.75" customHeight="1" s="39"/>
    <row r="820" ht="15.75" customHeight="1" s="39"/>
    <row r="821" ht="15.75" customHeight="1" s="39"/>
    <row r="822" ht="15.75" customHeight="1" s="39"/>
    <row r="823" ht="15.75" customHeight="1" s="39"/>
    <row r="824" ht="15.75" customHeight="1" s="39"/>
    <row r="825" ht="15.75" customHeight="1" s="39"/>
    <row r="826" ht="15.75" customHeight="1" s="39"/>
    <row r="827" ht="15.75" customHeight="1" s="39"/>
    <row r="828" ht="15.75" customHeight="1" s="39"/>
    <row r="829" ht="15.75" customHeight="1" s="39"/>
    <row r="830" ht="15.75" customHeight="1" s="39"/>
    <row r="831" ht="15.75" customHeight="1" s="39"/>
    <row r="832" ht="15.75" customHeight="1" s="39"/>
    <row r="833" ht="15.75" customHeight="1" s="39"/>
    <row r="834" ht="15.75" customHeight="1" s="39"/>
    <row r="835" ht="15.75" customHeight="1" s="39"/>
    <row r="836" ht="15.75" customHeight="1" s="39"/>
    <row r="837" ht="15.75" customHeight="1" s="39"/>
    <row r="838" ht="15.75" customHeight="1" s="39"/>
    <row r="839" ht="15.75" customHeight="1" s="39"/>
    <row r="840" ht="15.75" customHeight="1" s="39"/>
    <row r="841" ht="15.75" customHeight="1" s="39"/>
    <row r="842" ht="15.75" customHeight="1" s="39"/>
    <row r="843" ht="15.75" customHeight="1" s="39"/>
    <row r="844" ht="15.75" customHeight="1" s="39"/>
    <row r="845" ht="15.75" customHeight="1" s="39"/>
    <row r="846" ht="15.75" customHeight="1" s="39"/>
    <row r="847" ht="15.75" customHeight="1" s="39"/>
    <row r="848" ht="15.75" customHeight="1" s="39"/>
    <row r="849" ht="15.75" customHeight="1" s="39"/>
    <row r="850" ht="15.75" customHeight="1" s="39"/>
    <row r="851" ht="15.75" customHeight="1" s="39"/>
    <row r="852" ht="15.75" customHeight="1" s="39"/>
    <row r="853" ht="15.75" customHeight="1" s="39"/>
    <row r="854" ht="15.75" customHeight="1" s="39"/>
    <row r="855" ht="15.75" customHeight="1" s="39"/>
    <row r="856" ht="15.75" customHeight="1" s="39"/>
    <row r="857" ht="15.75" customHeight="1" s="39"/>
    <row r="858" ht="15.75" customHeight="1" s="39"/>
    <row r="859" ht="15.75" customHeight="1" s="39"/>
    <row r="860" ht="15.75" customHeight="1" s="39"/>
    <row r="861" ht="15.75" customHeight="1" s="39"/>
    <row r="862" ht="15.75" customHeight="1" s="39"/>
    <row r="863" ht="15.75" customHeight="1" s="39"/>
    <row r="864" ht="15.75" customHeight="1" s="39"/>
    <row r="865" ht="15.75" customHeight="1" s="39"/>
    <row r="866" ht="15.75" customHeight="1" s="39"/>
    <row r="867" ht="15.75" customHeight="1" s="39"/>
    <row r="868" ht="15.75" customHeight="1" s="39"/>
    <row r="869" ht="15.75" customHeight="1" s="39"/>
    <row r="870" ht="15.75" customHeight="1" s="39"/>
    <row r="871" ht="15.75" customHeight="1" s="39"/>
    <row r="872" ht="15.75" customHeight="1" s="39"/>
    <row r="873" ht="15.75" customHeight="1" s="39"/>
    <row r="874" ht="15.75" customHeight="1" s="39"/>
    <row r="875" ht="15.75" customHeight="1" s="39"/>
    <row r="876" ht="15.75" customHeight="1" s="39"/>
    <row r="877" ht="15.75" customHeight="1" s="39"/>
    <row r="878" ht="15.75" customHeight="1" s="39"/>
    <row r="879" ht="15.75" customHeight="1" s="39"/>
    <row r="880" ht="15.75" customHeight="1" s="39"/>
    <row r="881" ht="15.75" customHeight="1" s="39"/>
    <row r="882" ht="15.75" customHeight="1" s="39"/>
    <row r="883" ht="15.75" customHeight="1" s="39"/>
    <row r="884" ht="15.75" customHeight="1" s="39"/>
    <row r="885" ht="15.75" customHeight="1" s="39"/>
    <row r="886" ht="15.75" customHeight="1" s="39"/>
    <row r="887" ht="15.75" customHeight="1" s="39"/>
    <row r="888" ht="15.75" customHeight="1" s="39"/>
    <row r="889" ht="15.75" customHeight="1" s="39"/>
    <row r="890" ht="15.75" customHeight="1" s="39"/>
    <row r="891" ht="15.75" customHeight="1" s="39"/>
    <row r="892" ht="15.75" customHeight="1" s="39"/>
    <row r="893" ht="15.75" customHeight="1" s="39"/>
    <row r="894" ht="15.75" customHeight="1" s="39"/>
    <row r="895" ht="15.75" customHeight="1" s="39"/>
    <row r="896" ht="15.75" customHeight="1" s="39"/>
    <row r="897" ht="15.75" customHeight="1" s="39"/>
    <row r="898" ht="15.75" customHeight="1" s="39"/>
    <row r="899" ht="15.75" customHeight="1" s="39"/>
    <row r="900" ht="15.75" customHeight="1" s="39"/>
    <row r="901" ht="15.75" customHeight="1" s="39"/>
    <row r="902" ht="15.75" customHeight="1" s="39"/>
    <row r="903" ht="15.75" customHeight="1" s="39"/>
    <row r="904" ht="15.75" customHeight="1" s="39"/>
    <row r="905" ht="15.75" customHeight="1" s="39"/>
    <row r="906" ht="15.75" customHeight="1" s="39"/>
    <row r="907" ht="15.75" customHeight="1" s="39"/>
    <row r="908" ht="15.75" customHeight="1" s="39"/>
    <row r="909" ht="15.75" customHeight="1" s="39"/>
    <row r="910" ht="15.75" customHeight="1" s="39"/>
    <row r="911" ht="15.75" customHeight="1" s="39"/>
    <row r="912" ht="15.75" customHeight="1" s="39"/>
    <row r="913" ht="15.75" customHeight="1" s="39"/>
    <row r="914" ht="15.75" customHeight="1" s="39"/>
    <row r="915" ht="15.75" customHeight="1" s="39"/>
    <row r="916" ht="15.75" customHeight="1" s="39"/>
    <row r="917" ht="15.75" customHeight="1" s="39"/>
    <row r="918" ht="15.75" customHeight="1" s="39"/>
    <row r="919" ht="15.75" customHeight="1" s="39"/>
    <row r="920" ht="15.75" customHeight="1" s="39"/>
    <row r="921" ht="15.75" customHeight="1" s="39"/>
    <row r="922" ht="15.75" customHeight="1" s="39"/>
    <row r="923" ht="15.75" customHeight="1" s="39"/>
    <row r="924" ht="15.75" customHeight="1" s="39"/>
    <row r="925" ht="15.75" customHeight="1" s="39"/>
    <row r="926" ht="15.75" customHeight="1" s="39"/>
    <row r="927" ht="15.75" customHeight="1" s="39"/>
    <row r="928" ht="15.75" customHeight="1" s="39"/>
    <row r="929" ht="15.75" customHeight="1" s="39"/>
    <row r="930" ht="15.75" customHeight="1" s="39"/>
    <row r="931" ht="15.75" customHeight="1" s="39"/>
    <row r="932" ht="15.75" customHeight="1" s="39"/>
    <row r="933" ht="15.75" customHeight="1" s="39"/>
    <row r="934" ht="15.75" customHeight="1" s="39"/>
    <row r="935" ht="15.75" customHeight="1" s="39"/>
    <row r="936" ht="15.75" customHeight="1" s="39"/>
    <row r="937" ht="15.75" customHeight="1" s="39"/>
    <row r="938" ht="15.75" customHeight="1" s="39"/>
    <row r="939" ht="15.75" customHeight="1" s="39"/>
    <row r="940" ht="15.75" customHeight="1" s="39"/>
    <row r="941" ht="15.75" customHeight="1" s="39"/>
    <row r="942" ht="15.75" customHeight="1" s="39"/>
    <row r="943" ht="15.75" customHeight="1" s="39"/>
    <row r="944" ht="15.75" customHeight="1" s="39"/>
    <row r="945" ht="15.75" customHeight="1" s="39"/>
    <row r="946" ht="15.75" customHeight="1" s="39"/>
    <row r="947" ht="15.75" customHeight="1" s="39"/>
    <row r="948" ht="15.75" customHeight="1" s="39"/>
    <row r="949" ht="15.75" customHeight="1" s="39"/>
    <row r="950" ht="15.75" customHeight="1" s="39"/>
    <row r="951" ht="15.75" customHeight="1" s="39"/>
    <row r="952" ht="15.75" customHeight="1" s="39"/>
    <row r="953" ht="15.75" customHeight="1" s="39"/>
    <row r="954" ht="15.75" customHeight="1" s="39"/>
    <row r="955" ht="15.75" customHeight="1" s="39"/>
    <row r="956" ht="15.75" customHeight="1" s="39"/>
    <row r="957" ht="15.75" customHeight="1" s="39"/>
    <row r="958" ht="15.75" customHeight="1" s="39"/>
    <row r="959" ht="15.75" customHeight="1" s="39"/>
    <row r="960" ht="15.75" customHeight="1" s="39"/>
    <row r="961" ht="15.75" customHeight="1" s="39"/>
    <row r="962" ht="15.75" customHeight="1" s="39"/>
    <row r="963" ht="15.75" customHeight="1" s="39"/>
    <row r="964" ht="15.75" customHeight="1" s="39"/>
    <row r="965" ht="15.75" customHeight="1" s="39"/>
    <row r="966" ht="15.75" customHeight="1" s="39"/>
    <row r="967" ht="15.75" customHeight="1" s="39"/>
    <row r="968" ht="15.75" customHeight="1" s="39"/>
    <row r="969" ht="15.75" customHeight="1" s="39"/>
    <row r="970" ht="15.75" customHeight="1" s="39"/>
    <row r="971" ht="15.75" customHeight="1" s="39"/>
    <row r="972" ht="15.75" customHeight="1" s="39"/>
    <row r="973" ht="15.75" customHeight="1" s="39"/>
    <row r="974" ht="15.75" customHeight="1" s="39"/>
    <row r="975" ht="15.75" customHeight="1" s="39"/>
    <row r="976" ht="15.75" customHeight="1" s="39"/>
    <row r="977" ht="15.75" customHeight="1" s="39"/>
    <row r="978" ht="15.75" customHeight="1" s="39"/>
    <row r="979" ht="15.75" customHeight="1" s="39"/>
    <row r="980" ht="15.75" customHeight="1" s="39"/>
    <row r="981" ht="15.75" customHeight="1" s="39"/>
    <row r="982" ht="15.75" customHeight="1" s="39"/>
    <row r="983" ht="15.75" customHeight="1" s="39"/>
    <row r="984" ht="15.75" customHeight="1" s="39"/>
    <row r="985" ht="15.75" customHeight="1" s="39"/>
    <row r="986" ht="15.75" customHeight="1" s="39"/>
    <row r="987" ht="15.75" customHeight="1" s="39"/>
    <row r="988" ht="15.75" customHeight="1" s="39"/>
    <row r="989" ht="15.75" customHeight="1" s="39"/>
    <row r="990" ht="15.75" customHeight="1" s="39"/>
    <row r="991" ht="15.75" customHeight="1" s="39"/>
    <row r="992" ht="15.75" customHeight="1" s="39"/>
    <row r="993" ht="15.75" customHeight="1" s="39"/>
    <row r="994" ht="15.75" customHeight="1" s="39"/>
    <row r="995" ht="15.75" customHeight="1" s="39"/>
    <row r="996" ht="15.75" customHeight="1" s="39"/>
    <row r="997" ht="15.75" customHeight="1" s="39"/>
    <row r="998" ht="15.75" customHeight="1" s="39"/>
    <row r="999" ht="15.75" customHeight="1" s="39"/>
    <row r="1000" ht="15.75" customHeight="1" s="39"/>
  </sheetData>
  <mergeCells count="2">
    <mergeCell ref="A2:F2"/>
    <mergeCell ref="A1:F1"/>
  </mergeCell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ColWidth="14.43" defaultRowHeight="15" customHeight="1"/>
  <cols>
    <col width="50" customWidth="1" style="39" min="1" max="1"/>
    <col width="24" customWidth="1" style="39" min="2" max="2"/>
    <col width="26.43" customWidth="1" style="39" min="3" max="3"/>
    <col width="24" customWidth="1" style="39" min="4" max="6"/>
    <col width="8.710000000000001" customWidth="1" style="39" min="7" max="26"/>
  </cols>
  <sheetData>
    <row r="1">
      <c r="A1" s="16" t="inlineStr">
        <is>
          <t>Financial Scenarios — what-if analysis</t>
        </is>
      </c>
    </row>
    <row r="2">
      <c r="A2" s="4" t="inlineStr">
        <is>
          <t>Orange cells = inputs you can change. Other cells calculate automatically. Models 20-year horizon with simplified assumptions — not investment advice.</t>
        </is>
      </c>
    </row>
    <row r="4">
      <c r="A4" s="14" t="inlineStr">
        <is>
          <t>ASSUMPTIONS</t>
        </is>
      </c>
      <c r="B4" s="14" t="n"/>
      <c r="C4" s="14" t="n"/>
      <c r="D4" s="14" t="n"/>
      <c r="E4" s="14" t="n"/>
      <c r="F4" s="14" t="n"/>
    </row>
    <row r="5">
      <c r="A5" s="10" t="inlineStr">
        <is>
          <t>Expected investment return (annual)</t>
        </is>
      </c>
      <c r="B5" s="22" t="n">
        <v>0.07000000000000001</v>
      </c>
      <c r="C5" s="10" t="inlineStr">
        <is>
          <t>Stock/bond mix typical for retirement timeline</t>
        </is>
      </c>
    </row>
    <row r="6">
      <c r="A6" s="10" t="inlineStr">
        <is>
          <t>Time horizon (years)</t>
        </is>
      </c>
      <c r="B6" s="26" t="n">
        <v>20</v>
      </c>
    </row>
    <row r="7">
      <c r="A7" s="10" t="inlineStr">
        <is>
          <t>MA marginal tax rate</t>
        </is>
      </c>
      <c r="B7" s="22" t="n">
        <v>0.05</v>
      </c>
    </row>
    <row r="8">
      <c r="A8" s="10" t="inlineStr">
        <is>
          <t>Federal marginal tax rate</t>
        </is>
      </c>
      <c r="B8" s="22" t="n">
        <v>0.22</v>
      </c>
    </row>
    <row r="10">
      <c r="A10" s="14" t="inlineStr">
        <is>
          <t>LOANS</t>
        </is>
      </c>
      <c r="B10" s="14" t="n"/>
      <c r="C10" s="14" t="n"/>
      <c r="D10" s="14" t="n"/>
      <c r="E10" s="14" t="n"/>
      <c r="F10" s="14" t="n"/>
    </row>
    <row r="11">
      <c r="A11" s="5" t="inlineStr">
        <is>
          <t>Loan</t>
        </is>
      </c>
      <c r="B11" s="5" t="inlineStr">
        <is>
          <t>Balance</t>
        </is>
      </c>
      <c r="C11" s="5" t="inlineStr">
        <is>
          <t>Rate</t>
        </is>
      </c>
      <c r="D11" s="5" t="inlineStr">
        <is>
          <t>Monthly pmt</t>
        </is>
      </c>
      <c r="E11" s="5" t="inlineStr">
        <is>
          <t>Months left</t>
        </is>
      </c>
      <c r="F11" s="5" t="inlineStr">
        <is>
          <t>Interest remaining</t>
        </is>
      </c>
    </row>
    <row r="12">
      <c r="A12" s="10" t="inlineStr">
        <is>
          <t>RAV4 (Toyota)</t>
        </is>
      </c>
      <c r="B12" s="27" t="n">
        <v>0</v>
      </c>
      <c r="C12" s="25" t="n">
        <v>0</v>
      </c>
      <c r="D12" s="27" t="n">
        <v>0</v>
      </c>
      <c r="E12" s="26" t="n">
        <v>0</v>
      </c>
      <c r="F12" s="15">
        <f>D12*E12-B12</f>
        <v/>
      </c>
    </row>
    <row r="13">
      <c r="A13" s="10" t="inlineStr">
        <is>
          <t>Sienna (BoA)</t>
        </is>
      </c>
      <c r="B13" s="27" t="n">
        <v>14374</v>
      </c>
      <c r="C13" s="25" t="n">
        <v>0.0635</v>
      </c>
      <c r="D13" s="27" t="n">
        <v>384.16</v>
      </c>
      <c r="E13" s="26" t="n">
        <v>48</v>
      </c>
      <c r="F13" s="15">
        <f>D13*E13-B13</f>
        <v/>
      </c>
    </row>
    <row r="14">
      <c r="A14" s="10" t="inlineStr">
        <is>
          <t>Mortgage (Rocket)</t>
        </is>
      </c>
      <c r="B14" s="27" t="n">
        <v>350000</v>
      </c>
      <c r="C14" s="25" t="n">
        <v>0.0575</v>
      </c>
      <c r="D14" s="27" t="n">
        <v>3289</v>
      </c>
      <c r="E14" s="26" t="n">
        <v>320</v>
      </c>
      <c r="F14" s="15">
        <f>D14*E14-B14</f>
        <v/>
      </c>
    </row>
    <row r="16">
      <c r="A16" s="14" t="inlineStr">
        <is>
          <t>SCENARIOS — projected outcomes over horizon</t>
        </is>
      </c>
      <c r="B16" s="14" t="n"/>
      <c r="C16" s="14" t="n"/>
      <c r="D16" s="14" t="n"/>
      <c r="E16" s="14" t="n"/>
      <c r="F16" s="14" t="n"/>
    </row>
    <row r="17">
      <c r="A17" s="28" t="inlineStr">
        <is>
          <t>Action</t>
        </is>
      </c>
      <c r="B17" s="28" t="inlineStr">
        <is>
          <t>Status quo</t>
        </is>
      </c>
      <c r="C17" s="29" t="inlineStr">
        <is>
          <t>Restart Sue 403b at $300/mo</t>
        </is>
      </c>
      <c r="D17" s="29" t="inlineStr">
        <is>
          <t>Pay off RAV4 → backdoor Roth IRAs ($7k×2)</t>
        </is>
      </c>
      <c r="E17" s="29" t="inlineStr">
        <is>
          <t>Pay off RAV4 + restart Sue 403b</t>
        </is>
      </c>
      <c r="F17" s="29" t="inlineStr">
        <is>
          <t>Aggressive: all above + boost 529 to $300/mo</t>
        </is>
      </c>
    </row>
    <row r="18">
      <c r="A18" s="10" t="inlineStr">
        <is>
          <t>Monthly cash impact (vs status quo)</t>
        </is>
      </c>
      <c r="B18" s="15" t="n">
        <v>0</v>
      </c>
      <c r="C18" s="15">
        <f>-300</f>
        <v/>
      </c>
      <c r="D18" s="15">
        <f>451-1167</f>
        <v/>
      </c>
      <c r="E18" s="15">
        <f>451-300</f>
        <v/>
      </c>
      <c r="F18" s="15">
        <f>451-1167-300-200</f>
        <v/>
      </c>
    </row>
    <row r="19">
      <c r="A19" s="10" t="inlineStr">
        <is>
          <t>New annual investment contributions</t>
        </is>
      </c>
      <c r="B19" s="15" t="n">
        <v>0</v>
      </c>
      <c r="C19" s="15">
        <f>300*12</f>
        <v/>
      </c>
      <c r="D19" s="15">
        <f>14000</f>
        <v/>
      </c>
      <c r="E19" s="15">
        <f>300*12</f>
        <v/>
      </c>
      <c r="F19" s="15">
        <f>300*12+14000+200*12</f>
        <v/>
      </c>
    </row>
    <row r="20">
      <c r="A20" s="10" t="inlineStr">
        <is>
          <t>Annual tax savings (federal+state)</t>
        </is>
      </c>
      <c r="B20" s="15" t="n">
        <v>0</v>
      </c>
      <c r="C20" s="15">
        <f>300*12*($B$8+$B$7)</f>
        <v/>
      </c>
      <c r="D20" s="15">
        <f>0</f>
        <v/>
      </c>
      <c r="E20" s="15">
        <f>300*12*($B$8+$B$7)</f>
        <v/>
      </c>
      <c r="F20" s="15">
        <f>300*12*($B$8+$B$7)+MIN(200*12,2000)*$B$7</f>
        <v/>
      </c>
    </row>
    <row r="21" ht="15.75" customHeight="1" s="39">
      <c r="A21" s="10" t="inlineStr">
        <is>
          <t>Loan interest saved (one-time)</t>
        </is>
      </c>
      <c r="B21" s="15" t="n">
        <v>0</v>
      </c>
      <c r="C21" s="15">
        <f>0</f>
        <v/>
      </c>
      <c r="D21" s="15">
        <f>F12</f>
        <v/>
      </c>
      <c r="E21" s="15">
        <f>F12</f>
        <v/>
      </c>
      <c r="F21" s="15">
        <f>F12</f>
        <v/>
      </c>
    </row>
    <row r="22" ht="15.75" customHeight="1" s="39">
      <c r="A22" s="10" t="inlineStr">
        <is>
          <t>Investment growth over horizon</t>
        </is>
      </c>
      <c r="B22" s="15" t="n">
        <v>0</v>
      </c>
      <c r="C22" s="15">
        <f>300*((((1+$B$5/12)^($B$6*12))-1)/($B$5/12))</f>
        <v/>
      </c>
      <c r="D22" s="15">
        <f>(14000/12)*((((1+$B$5/12)^($B$6*12))-1)/($B$5/12))</f>
        <v/>
      </c>
      <c r="E22" s="15">
        <f>300*((((1+$B$5/12)^($B$6*12))-1)/($B$5/12))</f>
        <v/>
      </c>
      <c r="F22" s="15">
        <f>(300+200)*((((1+$B$5/12)^($B$6*12))-1)/($B$5/12))+(14000/12)*((((1+$B$5/12)^($B$6*12))-1)/($B$5/12))</f>
        <v/>
      </c>
    </row>
    <row r="23" ht="15.75" customHeight="1" s="39">
      <c r="A23" s="10" t="inlineStr">
        <is>
          <t>TOTAL benefit (FV + interest saved + tax savings × horizon)</t>
        </is>
      </c>
      <c r="B23" s="15">
        <f>B22+B21+B20*$B$6</f>
        <v/>
      </c>
      <c r="C23" s="15">
        <f>C22+C21+C20*$B$6</f>
        <v/>
      </c>
      <c r="D23" s="15">
        <f>D22+D21+D20*$B$6</f>
        <v/>
      </c>
      <c r="E23" s="15">
        <f>E22+E21+E20*$B$6</f>
        <v/>
      </c>
      <c r="F23" s="15">
        <f>F22+F21+F20*$B$6</f>
        <v/>
      </c>
    </row>
    <row r="24" ht="15.75" customHeight="1" s="39"/>
    <row r="25" ht="15.75" customHeight="1" s="39"/>
    <row r="26" ht="15.75" customHeight="1" s="39"/>
    <row r="27" ht="15.75" customHeight="1" s="39"/>
    <row r="28" ht="15.75" customHeight="1" s="39"/>
    <row r="29" ht="15.75" customHeight="1" s="39"/>
    <row r="30" ht="15.75" customHeight="1" s="39"/>
    <row r="31" ht="15.75" customHeight="1" s="39"/>
    <row r="32" ht="15.75" customHeight="1" s="39"/>
    <row r="33" ht="15.75" customHeight="1" s="39"/>
    <row r="34" ht="15.75" customHeight="1" s="39"/>
    <row r="35" ht="15.75" customHeight="1" s="39"/>
    <row r="36" ht="15.75" customHeight="1" s="39"/>
    <row r="37" ht="15.75" customHeight="1" s="39"/>
    <row r="38" ht="15.75" customHeight="1" s="39"/>
    <row r="39" ht="15.75" customHeight="1" s="39"/>
    <row r="40" ht="15.75" customHeight="1" s="39"/>
    <row r="41" ht="15.75" customHeight="1" s="39"/>
    <row r="42" ht="15.75" customHeight="1" s="39"/>
    <row r="43" ht="15.75" customHeight="1" s="39"/>
    <row r="44" ht="15.75" customHeight="1" s="39"/>
    <row r="45" ht="15.75" customHeight="1" s="39"/>
    <row r="46" ht="15.75" customHeight="1" s="39"/>
    <row r="47" ht="15.75" customHeight="1" s="39"/>
    <row r="48" ht="15.75" customHeight="1" s="39"/>
    <row r="49" ht="15.75" customHeight="1" s="39"/>
    <row r="50" ht="15.75" customHeight="1" s="39"/>
    <row r="51" ht="15.75" customHeight="1" s="39"/>
    <row r="52" ht="15.75" customHeight="1" s="39"/>
    <row r="53" ht="15.75" customHeight="1" s="39"/>
    <row r="54" ht="15.75" customHeight="1" s="39"/>
    <row r="55" ht="15.75" customHeight="1" s="39"/>
    <row r="56" ht="15.75" customHeight="1" s="39"/>
    <row r="57" ht="15.75" customHeight="1" s="39"/>
    <row r="58" ht="15.75" customHeight="1" s="39"/>
    <row r="59" ht="15.75" customHeight="1" s="39"/>
    <row r="60" ht="15.75" customHeight="1" s="39"/>
    <row r="61" ht="15.75" customHeight="1" s="39"/>
    <row r="62" ht="15.75" customHeight="1" s="39"/>
    <row r="63" ht="15.75" customHeight="1" s="39"/>
    <row r="64" ht="15.75" customHeight="1" s="39"/>
    <row r="65" ht="15.75" customHeight="1" s="39"/>
    <row r="66" ht="15.75" customHeight="1" s="39"/>
    <row r="67" ht="15.75" customHeight="1" s="39"/>
    <row r="68" ht="15.75" customHeight="1" s="39"/>
    <row r="69" ht="15.75" customHeight="1" s="39"/>
    <row r="70" ht="15.75" customHeight="1" s="39"/>
    <row r="71" ht="15.75" customHeight="1" s="39"/>
    <row r="72" ht="15.75" customHeight="1" s="39"/>
    <row r="73" ht="15.75" customHeight="1" s="39"/>
    <row r="74" ht="15.75" customHeight="1" s="39"/>
    <row r="75" ht="15.75" customHeight="1" s="39"/>
    <row r="76" ht="15.75" customHeight="1" s="39"/>
    <row r="77" ht="15.75" customHeight="1" s="39"/>
    <row r="78" ht="15.75" customHeight="1" s="39"/>
    <row r="79" ht="15.75" customHeight="1" s="39"/>
    <row r="80" ht="15.75" customHeight="1" s="39"/>
    <row r="81" ht="15.75" customHeight="1" s="39"/>
    <row r="82" ht="15.75" customHeight="1" s="39"/>
    <row r="83" ht="15.75" customHeight="1" s="39"/>
    <row r="84" ht="15.75" customHeight="1" s="39"/>
    <row r="85" ht="15.75" customHeight="1" s="39"/>
    <row r="86" ht="15.75" customHeight="1" s="39"/>
    <row r="87" ht="15.75" customHeight="1" s="39"/>
    <row r="88" ht="15.75" customHeight="1" s="39"/>
    <row r="89" ht="15.75" customHeight="1" s="39"/>
    <row r="90" ht="15.75" customHeight="1" s="39"/>
    <row r="91" ht="15.75" customHeight="1" s="39"/>
    <row r="92" ht="15.75" customHeight="1" s="39"/>
    <row r="93" ht="15.75" customHeight="1" s="39"/>
    <row r="94" ht="15.75" customHeight="1" s="39"/>
    <row r="95" ht="15.75" customHeight="1" s="39"/>
    <row r="96" ht="15.75" customHeight="1" s="39"/>
    <row r="97" ht="15.75" customHeight="1" s="39"/>
    <row r="98" ht="15.75" customHeight="1" s="39"/>
    <row r="99" ht="15.75" customHeight="1" s="39"/>
    <row r="100" ht="15.75" customHeight="1" s="39"/>
    <row r="101" ht="15.75" customHeight="1" s="39"/>
    <row r="102" ht="15.75" customHeight="1" s="39"/>
    <row r="103" ht="15.75" customHeight="1" s="39"/>
    <row r="104" ht="15.75" customHeight="1" s="39"/>
    <row r="105" ht="15.75" customHeight="1" s="39"/>
    <row r="106" ht="15.75" customHeight="1" s="39"/>
    <row r="107" ht="15.75" customHeight="1" s="39"/>
    <row r="108" ht="15.75" customHeight="1" s="39"/>
    <row r="109" ht="15.75" customHeight="1" s="39"/>
    <row r="110" ht="15.75" customHeight="1" s="39"/>
    <row r="111" ht="15.75" customHeight="1" s="39"/>
    <row r="112" ht="15.75" customHeight="1" s="39"/>
    <row r="113" ht="15.75" customHeight="1" s="39"/>
    <row r="114" ht="15.75" customHeight="1" s="39"/>
    <row r="115" ht="15.75" customHeight="1" s="39"/>
    <row r="116" ht="15.75" customHeight="1" s="39"/>
    <row r="117" ht="15.75" customHeight="1" s="39"/>
    <row r="118" ht="15.75" customHeight="1" s="39"/>
    <row r="119" ht="15.75" customHeight="1" s="39"/>
    <row r="120" ht="15.75" customHeight="1" s="39"/>
    <row r="121" ht="15.75" customHeight="1" s="39"/>
    <row r="122" ht="15.75" customHeight="1" s="39"/>
    <row r="123" ht="15.75" customHeight="1" s="39"/>
    <row r="124" ht="15.75" customHeight="1" s="39"/>
    <row r="125" ht="15.75" customHeight="1" s="39"/>
    <row r="126" ht="15.75" customHeight="1" s="39"/>
    <row r="127" ht="15.75" customHeight="1" s="39"/>
    <row r="128" ht="15.75" customHeight="1" s="39"/>
    <row r="129" ht="15.75" customHeight="1" s="39"/>
    <row r="130" ht="15.75" customHeight="1" s="39"/>
    <row r="131" ht="15.75" customHeight="1" s="39"/>
    <row r="132" ht="15.75" customHeight="1" s="39"/>
    <row r="133" ht="15.75" customHeight="1" s="39"/>
    <row r="134" ht="15.75" customHeight="1" s="39"/>
    <row r="135" ht="15.75" customHeight="1" s="39"/>
    <row r="136" ht="15.75" customHeight="1" s="39"/>
    <row r="137" ht="15.75" customHeight="1" s="39"/>
    <row r="138" ht="15.75" customHeight="1" s="39"/>
    <row r="139" ht="15.75" customHeight="1" s="39"/>
    <row r="140" ht="15.75" customHeight="1" s="39"/>
    <row r="141" ht="15.75" customHeight="1" s="39"/>
    <row r="142" ht="15.75" customHeight="1" s="39"/>
    <row r="143" ht="15.75" customHeight="1" s="39"/>
    <row r="144" ht="15.75" customHeight="1" s="39"/>
    <row r="145" ht="15.75" customHeight="1" s="39"/>
    <row r="146" ht="15.75" customHeight="1" s="39"/>
    <row r="147" ht="15.75" customHeight="1" s="39"/>
    <row r="148" ht="15.75" customHeight="1" s="39"/>
    <row r="149" ht="15.75" customHeight="1" s="39"/>
    <row r="150" ht="15.75" customHeight="1" s="39"/>
    <row r="151" ht="15.75" customHeight="1" s="39"/>
    <row r="152" ht="15.75" customHeight="1" s="39"/>
    <row r="153" ht="15.75" customHeight="1" s="39"/>
    <row r="154" ht="15.75" customHeight="1" s="39"/>
    <row r="155" ht="15.75" customHeight="1" s="39"/>
    <row r="156" ht="15.75" customHeight="1" s="39"/>
    <row r="157" ht="15.75" customHeight="1" s="39"/>
    <row r="158" ht="15.75" customHeight="1" s="39"/>
    <row r="159" ht="15.75" customHeight="1" s="39"/>
    <row r="160" ht="15.75" customHeight="1" s="39"/>
    <row r="161" ht="15.75" customHeight="1" s="39"/>
    <row r="162" ht="15.75" customHeight="1" s="39"/>
    <row r="163" ht="15.75" customHeight="1" s="39"/>
    <row r="164" ht="15.75" customHeight="1" s="39"/>
    <row r="165" ht="15.75" customHeight="1" s="39"/>
    <row r="166" ht="15.75" customHeight="1" s="39"/>
    <row r="167" ht="15.75" customHeight="1" s="39"/>
    <row r="168" ht="15.75" customHeight="1" s="39"/>
    <row r="169" ht="15.75" customHeight="1" s="39"/>
    <row r="170" ht="15.75" customHeight="1" s="39"/>
    <row r="171" ht="15.75" customHeight="1" s="39"/>
    <row r="172" ht="15.75" customHeight="1" s="39"/>
    <row r="173" ht="15.75" customHeight="1" s="39"/>
    <row r="174" ht="15.75" customHeight="1" s="39"/>
    <row r="175" ht="15.75" customHeight="1" s="39"/>
    <row r="176" ht="15.75" customHeight="1" s="39"/>
    <row r="177" ht="15.75" customHeight="1" s="39"/>
    <row r="178" ht="15.75" customHeight="1" s="39"/>
    <row r="179" ht="15.75" customHeight="1" s="39"/>
    <row r="180" ht="15.75" customHeight="1" s="39"/>
    <row r="181" ht="15.75" customHeight="1" s="39"/>
    <row r="182" ht="15.75" customHeight="1" s="39"/>
    <row r="183" ht="15.75" customHeight="1" s="39"/>
    <row r="184" ht="15.75" customHeight="1" s="39"/>
    <row r="185" ht="15.75" customHeight="1" s="39"/>
    <row r="186" ht="15.75" customHeight="1" s="39"/>
    <row r="187" ht="15.75" customHeight="1" s="39"/>
    <row r="188" ht="15.75" customHeight="1" s="39"/>
    <row r="189" ht="15.75" customHeight="1" s="39"/>
    <row r="190" ht="15.75" customHeight="1" s="39"/>
    <row r="191" ht="15.75" customHeight="1" s="39"/>
    <row r="192" ht="15.75" customHeight="1" s="39"/>
    <row r="193" ht="15.75" customHeight="1" s="39"/>
    <row r="194" ht="15.75" customHeight="1" s="39"/>
    <row r="195" ht="15.75" customHeight="1" s="39"/>
    <row r="196" ht="15.75" customHeight="1" s="39"/>
    <row r="197" ht="15.75" customHeight="1" s="39"/>
    <row r="198" ht="15.75" customHeight="1" s="39"/>
    <row r="199" ht="15.75" customHeight="1" s="39"/>
    <row r="200" ht="15.75" customHeight="1" s="39"/>
    <row r="201" ht="15.75" customHeight="1" s="39"/>
    <row r="202" ht="15.75" customHeight="1" s="39"/>
    <row r="203" ht="15.75" customHeight="1" s="39"/>
    <row r="204" ht="15.75" customHeight="1" s="39"/>
    <row r="205" ht="15.75" customHeight="1" s="39"/>
    <row r="206" ht="15.75" customHeight="1" s="39"/>
    <row r="207" ht="15.75" customHeight="1" s="39"/>
    <row r="208" ht="15.75" customHeight="1" s="39"/>
    <row r="209" ht="15.75" customHeight="1" s="39"/>
    <row r="210" ht="15.75" customHeight="1" s="39"/>
    <row r="211" ht="15.75" customHeight="1" s="39"/>
    <row r="212" ht="15.75" customHeight="1" s="39"/>
    <row r="213" ht="15.75" customHeight="1" s="39"/>
    <row r="214" ht="15.75" customHeight="1" s="39"/>
    <row r="215" ht="15.75" customHeight="1" s="39"/>
    <row r="216" ht="15.75" customHeight="1" s="39"/>
    <row r="217" ht="15.75" customHeight="1" s="39"/>
    <row r="218" ht="15.75" customHeight="1" s="39"/>
    <row r="219" ht="15.75" customHeight="1" s="39"/>
    <row r="220" ht="15.75" customHeight="1" s="39"/>
    <row r="221" ht="15.75" customHeight="1" s="39"/>
    <row r="222" ht="15.75" customHeight="1" s="39"/>
    <row r="223" ht="15.75" customHeight="1" s="39"/>
    <row r="224" ht="15.75" customHeight="1" s="39"/>
    <row r="225" ht="15.75" customHeight="1" s="39"/>
    <row r="226" ht="15.75" customHeight="1" s="39"/>
    <row r="227" ht="15.75" customHeight="1" s="39"/>
    <row r="228" ht="15.75" customHeight="1" s="39"/>
    <row r="229" ht="15.75" customHeight="1" s="39"/>
    <row r="230" ht="15.75" customHeight="1" s="39"/>
    <row r="231" ht="15.75" customHeight="1" s="39"/>
    <row r="232" ht="15.75" customHeight="1" s="39"/>
    <row r="233" ht="15.75" customHeight="1" s="39"/>
    <row r="234" ht="15.75" customHeight="1" s="39"/>
    <row r="235" ht="15.75" customHeight="1" s="39"/>
    <row r="236" ht="15.75" customHeight="1" s="39"/>
    <row r="237" ht="15.75" customHeight="1" s="39"/>
    <row r="238" ht="15.75" customHeight="1" s="39"/>
    <row r="239" ht="15.75" customHeight="1" s="39"/>
    <row r="240" ht="15.75" customHeight="1" s="39"/>
    <row r="241" ht="15.75" customHeight="1" s="39"/>
    <row r="242" ht="15.75" customHeight="1" s="39"/>
    <row r="243" ht="15.75" customHeight="1" s="39"/>
    <row r="244" ht="15.75" customHeight="1" s="39"/>
    <row r="245" ht="15.75" customHeight="1" s="39"/>
    <row r="246" ht="15.75" customHeight="1" s="39"/>
    <row r="247" ht="15.75" customHeight="1" s="39"/>
    <row r="248" ht="15.75" customHeight="1" s="39"/>
    <row r="249" ht="15.75" customHeight="1" s="39"/>
    <row r="250" ht="15.75" customHeight="1" s="39"/>
    <row r="251" ht="15.75" customHeight="1" s="39"/>
    <row r="252" ht="15.75" customHeight="1" s="39"/>
    <row r="253" ht="15.75" customHeight="1" s="39"/>
    <row r="254" ht="15.75" customHeight="1" s="39"/>
    <row r="255" ht="15.75" customHeight="1" s="39"/>
    <row r="256" ht="15.75" customHeight="1" s="39"/>
    <row r="257" ht="15.75" customHeight="1" s="39"/>
    <row r="258" ht="15.75" customHeight="1" s="39"/>
    <row r="259" ht="15.75" customHeight="1" s="39"/>
    <row r="260" ht="15.75" customHeight="1" s="39"/>
    <row r="261" ht="15.75" customHeight="1" s="39"/>
    <row r="262" ht="15.75" customHeight="1" s="39"/>
    <row r="263" ht="15.75" customHeight="1" s="39"/>
    <row r="264" ht="15.75" customHeight="1" s="39"/>
    <row r="265" ht="15.75" customHeight="1" s="39"/>
    <row r="266" ht="15.75" customHeight="1" s="39"/>
    <row r="267" ht="15.75" customHeight="1" s="39"/>
    <row r="268" ht="15.75" customHeight="1" s="39"/>
    <row r="269" ht="15.75" customHeight="1" s="39"/>
    <row r="270" ht="15.75" customHeight="1" s="39"/>
    <row r="271" ht="15.75" customHeight="1" s="39"/>
    <row r="272" ht="15.75" customHeight="1" s="39"/>
    <row r="273" ht="15.75" customHeight="1" s="39"/>
    <row r="274" ht="15.75" customHeight="1" s="39"/>
    <row r="275" ht="15.75" customHeight="1" s="39"/>
    <row r="276" ht="15.75" customHeight="1" s="39"/>
    <row r="277" ht="15.75" customHeight="1" s="39"/>
    <row r="278" ht="15.75" customHeight="1" s="39"/>
    <row r="279" ht="15.75" customHeight="1" s="39"/>
    <row r="280" ht="15.75" customHeight="1" s="39"/>
    <row r="281" ht="15.75" customHeight="1" s="39"/>
    <row r="282" ht="15.75" customHeight="1" s="39"/>
    <row r="283" ht="15.75" customHeight="1" s="39"/>
    <row r="284" ht="15.75" customHeight="1" s="39"/>
    <row r="285" ht="15.75" customHeight="1" s="39"/>
    <row r="286" ht="15.75" customHeight="1" s="39"/>
    <row r="287" ht="15.75" customHeight="1" s="39"/>
    <row r="288" ht="15.75" customHeight="1" s="39"/>
    <row r="289" ht="15.75" customHeight="1" s="39"/>
    <row r="290" ht="15.75" customHeight="1" s="39"/>
    <row r="291" ht="15.75" customHeight="1" s="39"/>
    <row r="292" ht="15.75" customHeight="1" s="39"/>
    <row r="293" ht="15.75" customHeight="1" s="39"/>
    <row r="294" ht="15.75" customHeight="1" s="39"/>
    <row r="295" ht="15.75" customHeight="1" s="39"/>
    <row r="296" ht="15.75" customHeight="1" s="39"/>
    <row r="297" ht="15.75" customHeight="1" s="39"/>
    <row r="298" ht="15.75" customHeight="1" s="39"/>
    <row r="299" ht="15.75" customHeight="1" s="39"/>
    <row r="300" ht="15.75" customHeight="1" s="39"/>
    <row r="301" ht="15.75" customHeight="1" s="39"/>
    <row r="302" ht="15.75" customHeight="1" s="39"/>
    <row r="303" ht="15.75" customHeight="1" s="39"/>
    <row r="304" ht="15.75" customHeight="1" s="39"/>
    <row r="305" ht="15.75" customHeight="1" s="39"/>
    <row r="306" ht="15.75" customHeight="1" s="39"/>
    <row r="307" ht="15.75" customHeight="1" s="39"/>
    <row r="308" ht="15.75" customHeight="1" s="39"/>
    <row r="309" ht="15.75" customHeight="1" s="39"/>
    <row r="310" ht="15.75" customHeight="1" s="39"/>
    <row r="311" ht="15.75" customHeight="1" s="39"/>
    <row r="312" ht="15.75" customHeight="1" s="39"/>
    <row r="313" ht="15.75" customHeight="1" s="39"/>
    <row r="314" ht="15.75" customHeight="1" s="39"/>
    <row r="315" ht="15.75" customHeight="1" s="39"/>
    <row r="316" ht="15.75" customHeight="1" s="39"/>
    <row r="317" ht="15.75" customHeight="1" s="39"/>
    <row r="318" ht="15.75" customHeight="1" s="39"/>
    <row r="319" ht="15.75" customHeight="1" s="39"/>
    <row r="320" ht="15.75" customHeight="1" s="39"/>
    <row r="321" ht="15.75" customHeight="1" s="39"/>
    <row r="322" ht="15.75" customHeight="1" s="39"/>
    <row r="323" ht="15.75" customHeight="1" s="39"/>
    <row r="324" ht="15.75" customHeight="1" s="39"/>
    <row r="325" ht="15.75" customHeight="1" s="39"/>
    <row r="326" ht="15.75" customHeight="1" s="39"/>
    <row r="327" ht="15.75" customHeight="1" s="39"/>
    <row r="328" ht="15.75" customHeight="1" s="39"/>
    <row r="329" ht="15.75" customHeight="1" s="39"/>
    <row r="330" ht="15.75" customHeight="1" s="39"/>
    <row r="331" ht="15.75" customHeight="1" s="39"/>
    <row r="332" ht="15.75" customHeight="1" s="39"/>
    <row r="333" ht="15.75" customHeight="1" s="39"/>
    <row r="334" ht="15.75" customHeight="1" s="39"/>
    <row r="335" ht="15.75" customHeight="1" s="39"/>
    <row r="336" ht="15.75" customHeight="1" s="39"/>
    <row r="337" ht="15.75" customHeight="1" s="39"/>
    <row r="338" ht="15.75" customHeight="1" s="39"/>
    <row r="339" ht="15.75" customHeight="1" s="39"/>
    <row r="340" ht="15.75" customHeight="1" s="39"/>
    <row r="341" ht="15.75" customHeight="1" s="39"/>
    <row r="342" ht="15.75" customHeight="1" s="39"/>
    <row r="343" ht="15.75" customHeight="1" s="39"/>
    <row r="344" ht="15.75" customHeight="1" s="39"/>
    <row r="345" ht="15.75" customHeight="1" s="39"/>
    <row r="346" ht="15.75" customHeight="1" s="39"/>
    <row r="347" ht="15.75" customHeight="1" s="39"/>
    <row r="348" ht="15.75" customHeight="1" s="39"/>
    <row r="349" ht="15.75" customHeight="1" s="39"/>
    <row r="350" ht="15.75" customHeight="1" s="39"/>
    <row r="351" ht="15.75" customHeight="1" s="39"/>
    <row r="352" ht="15.75" customHeight="1" s="39"/>
    <row r="353" ht="15.75" customHeight="1" s="39"/>
    <row r="354" ht="15.75" customHeight="1" s="39"/>
    <row r="355" ht="15.75" customHeight="1" s="39"/>
    <row r="356" ht="15.75" customHeight="1" s="39"/>
    <row r="357" ht="15.75" customHeight="1" s="39"/>
    <row r="358" ht="15.75" customHeight="1" s="39"/>
    <row r="359" ht="15.75" customHeight="1" s="39"/>
    <row r="360" ht="15.75" customHeight="1" s="39"/>
    <row r="361" ht="15.75" customHeight="1" s="39"/>
    <row r="362" ht="15.75" customHeight="1" s="39"/>
    <row r="363" ht="15.75" customHeight="1" s="39"/>
    <row r="364" ht="15.75" customHeight="1" s="39"/>
    <row r="365" ht="15.75" customHeight="1" s="39"/>
    <row r="366" ht="15.75" customHeight="1" s="39"/>
    <row r="367" ht="15.75" customHeight="1" s="39"/>
    <row r="368" ht="15.75" customHeight="1" s="39"/>
    <row r="369" ht="15.75" customHeight="1" s="39"/>
    <row r="370" ht="15.75" customHeight="1" s="39"/>
    <row r="371" ht="15.75" customHeight="1" s="39"/>
    <row r="372" ht="15.75" customHeight="1" s="39"/>
    <row r="373" ht="15.75" customHeight="1" s="39"/>
    <row r="374" ht="15.75" customHeight="1" s="39"/>
    <row r="375" ht="15.75" customHeight="1" s="39"/>
    <row r="376" ht="15.75" customHeight="1" s="39"/>
    <row r="377" ht="15.75" customHeight="1" s="39"/>
    <row r="378" ht="15.75" customHeight="1" s="39"/>
    <row r="379" ht="15.75" customHeight="1" s="39"/>
    <row r="380" ht="15.75" customHeight="1" s="39"/>
    <row r="381" ht="15.75" customHeight="1" s="39"/>
    <row r="382" ht="15.75" customHeight="1" s="39"/>
    <row r="383" ht="15.75" customHeight="1" s="39"/>
    <row r="384" ht="15.75" customHeight="1" s="39"/>
    <row r="385" ht="15.75" customHeight="1" s="39"/>
    <row r="386" ht="15.75" customHeight="1" s="39"/>
    <row r="387" ht="15.75" customHeight="1" s="39"/>
    <row r="388" ht="15.75" customHeight="1" s="39"/>
    <row r="389" ht="15.75" customHeight="1" s="39"/>
    <row r="390" ht="15.75" customHeight="1" s="39"/>
    <row r="391" ht="15.75" customHeight="1" s="39"/>
    <row r="392" ht="15.75" customHeight="1" s="39"/>
    <row r="393" ht="15.75" customHeight="1" s="39"/>
    <row r="394" ht="15.75" customHeight="1" s="39"/>
    <row r="395" ht="15.75" customHeight="1" s="39"/>
    <row r="396" ht="15.75" customHeight="1" s="39"/>
    <row r="397" ht="15.75" customHeight="1" s="39"/>
    <row r="398" ht="15.75" customHeight="1" s="39"/>
    <row r="399" ht="15.75" customHeight="1" s="39"/>
    <row r="400" ht="15.75" customHeight="1" s="39"/>
    <row r="401" ht="15.75" customHeight="1" s="39"/>
    <row r="402" ht="15.75" customHeight="1" s="39"/>
    <row r="403" ht="15.75" customHeight="1" s="39"/>
    <row r="404" ht="15.75" customHeight="1" s="39"/>
    <row r="405" ht="15.75" customHeight="1" s="39"/>
    <row r="406" ht="15.75" customHeight="1" s="39"/>
    <row r="407" ht="15.75" customHeight="1" s="39"/>
    <row r="408" ht="15.75" customHeight="1" s="39"/>
    <row r="409" ht="15.75" customHeight="1" s="39"/>
    <row r="410" ht="15.75" customHeight="1" s="39"/>
    <row r="411" ht="15.75" customHeight="1" s="39"/>
    <row r="412" ht="15.75" customHeight="1" s="39"/>
    <row r="413" ht="15.75" customHeight="1" s="39"/>
    <row r="414" ht="15.75" customHeight="1" s="39"/>
    <row r="415" ht="15.75" customHeight="1" s="39"/>
    <row r="416" ht="15.75" customHeight="1" s="39"/>
    <row r="417" ht="15.75" customHeight="1" s="39"/>
    <row r="418" ht="15.75" customHeight="1" s="39"/>
    <row r="419" ht="15.75" customHeight="1" s="39"/>
    <row r="420" ht="15.75" customHeight="1" s="39"/>
    <row r="421" ht="15.75" customHeight="1" s="39"/>
    <row r="422" ht="15.75" customHeight="1" s="39"/>
    <row r="423" ht="15.75" customHeight="1" s="39"/>
    <row r="424" ht="15.75" customHeight="1" s="39"/>
    <row r="425" ht="15.75" customHeight="1" s="39"/>
    <row r="426" ht="15.75" customHeight="1" s="39"/>
    <row r="427" ht="15.75" customHeight="1" s="39"/>
    <row r="428" ht="15.75" customHeight="1" s="39"/>
    <row r="429" ht="15.75" customHeight="1" s="39"/>
    <row r="430" ht="15.75" customHeight="1" s="39"/>
    <row r="431" ht="15.75" customHeight="1" s="39"/>
    <row r="432" ht="15.75" customHeight="1" s="39"/>
    <row r="433" ht="15.75" customHeight="1" s="39"/>
    <row r="434" ht="15.75" customHeight="1" s="39"/>
    <row r="435" ht="15.75" customHeight="1" s="39"/>
    <row r="436" ht="15.75" customHeight="1" s="39"/>
    <row r="437" ht="15.75" customHeight="1" s="39"/>
    <row r="438" ht="15.75" customHeight="1" s="39"/>
    <row r="439" ht="15.75" customHeight="1" s="39"/>
    <row r="440" ht="15.75" customHeight="1" s="39"/>
    <row r="441" ht="15.75" customHeight="1" s="39"/>
    <row r="442" ht="15.75" customHeight="1" s="39"/>
    <row r="443" ht="15.75" customHeight="1" s="39"/>
    <row r="444" ht="15.75" customHeight="1" s="39"/>
    <row r="445" ht="15.75" customHeight="1" s="39"/>
    <row r="446" ht="15.75" customHeight="1" s="39"/>
    <row r="447" ht="15.75" customHeight="1" s="39"/>
    <row r="448" ht="15.75" customHeight="1" s="39"/>
    <row r="449" ht="15.75" customHeight="1" s="39"/>
    <row r="450" ht="15.75" customHeight="1" s="39"/>
    <row r="451" ht="15.75" customHeight="1" s="39"/>
    <row r="452" ht="15.75" customHeight="1" s="39"/>
    <row r="453" ht="15.75" customHeight="1" s="39"/>
    <row r="454" ht="15.75" customHeight="1" s="39"/>
    <row r="455" ht="15.75" customHeight="1" s="39"/>
    <row r="456" ht="15.75" customHeight="1" s="39"/>
    <row r="457" ht="15.75" customHeight="1" s="39"/>
    <row r="458" ht="15.75" customHeight="1" s="39"/>
    <row r="459" ht="15.75" customHeight="1" s="39"/>
    <row r="460" ht="15.75" customHeight="1" s="39"/>
    <row r="461" ht="15.75" customHeight="1" s="39"/>
    <row r="462" ht="15.75" customHeight="1" s="39"/>
    <row r="463" ht="15.75" customHeight="1" s="39"/>
    <row r="464" ht="15.75" customHeight="1" s="39"/>
    <row r="465" ht="15.75" customHeight="1" s="39"/>
    <row r="466" ht="15.75" customHeight="1" s="39"/>
    <row r="467" ht="15.75" customHeight="1" s="39"/>
    <row r="468" ht="15.75" customHeight="1" s="39"/>
    <row r="469" ht="15.75" customHeight="1" s="39"/>
    <row r="470" ht="15.75" customHeight="1" s="39"/>
    <row r="471" ht="15.75" customHeight="1" s="39"/>
    <row r="472" ht="15.75" customHeight="1" s="39"/>
    <row r="473" ht="15.75" customHeight="1" s="39"/>
    <row r="474" ht="15.75" customHeight="1" s="39"/>
    <row r="475" ht="15.75" customHeight="1" s="39"/>
    <row r="476" ht="15.75" customHeight="1" s="39"/>
    <row r="477" ht="15.75" customHeight="1" s="39"/>
    <row r="478" ht="15.75" customHeight="1" s="39"/>
    <row r="479" ht="15.75" customHeight="1" s="39"/>
    <row r="480" ht="15.75" customHeight="1" s="39"/>
    <row r="481" ht="15.75" customHeight="1" s="39"/>
    <row r="482" ht="15.75" customHeight="1" s="39"/>
    <row r="483" ht="15.75" customHeight="1" s="39"/>
    <row r="484" ht="15.75" customHeight="1" s="39"/>
    <row r="485" ht="15.75" customHeight="1" s="39"/>
    <row r="486" ht="15.75" customHeight="1" s="39"/>
    <row r="487" ht="15.75" customHeight="1" s="39"/>
    <row r="488" ht="15.75" customHeight="1" s="39"/>
    <row r="489" ht="15.75" customHeight="1" s="39"/>
    <row r="490" ht="15.75" customHeight="1" s="39"/>
    <row r="491" ht="15.75" customHeight="1" s="39"/>
    <row r="492" ht="15.75" customHeight="1" s="39"/>
    <row r="493" ht="15.75" customHeight="1" s="39"/>
    <row r="494" ht="15.75" customHeight="1" s="39"/>
    <row r="495" ht="15.75" customHeight="1" s="39"/>
    <row r="496" ht="15.75" customHeight="1" s="39"/>
    <row r="497" ht="15.75" customHeight="1" s="39"/>
    <row r="498" ht="15.75" customHeight="1" s="39"/>
    <row r="499" ht="15.75" customHeight="1" s="39"/>
    <row r="500" ht="15.75" customHeight="1" s="39"/>
    <row r="501" ht="15.75" customHeight="1" s="39"/>
    <row r="502" ht="15.75" customHeight="1" s="39"/>
    <row r="503" ht="15.75" customHeight="1" s="39"/>
    <row r="504" ht="15.75" customHeight="1" s="39"/>
    <row r="505" ht="15.75" customHeight="1" s="39"/>
    <row r="506" ht="15.75" customHeight="1" s="39"/>
    <row r="507" ht="15.75" customHeight="1" s="39"/>
    <row r="508" ht="15.75" customHeight="1" s="39"/>
    <row r="509" ht="15.75" customHeight="1" s="39"/>
    <row r="510" ht="15.75" customHeight="1" s="39"/>
    <row r="511" ht="15.75" customHeight="1" s="39"/>
    <row r="512" ht="15.75" customHeight="1" s="39"/>
    <row r="513" ht="15.75" customHeight="1" s="39"/>
    <row r="514" ht="15.75" customHeight="1" s="39"/>
    <row r="515" ht="15.75" customHeight="1" s="39"/>
    <row r="516" ht="15.75" customHeight="1" s="39"/>
    <row r="517" ht="15.75" customHeight="1" s="39"/>
    <row r="518" ht="15.75" customHeight="1" s="39"/>
    <row r="519" ht="15.75" customHeight="1" s="39"/>
    <row r="520" ht="15.75" customHeight="1" s="39"/>
    <row r="521" ht="15.75" customHeight="1" s="39"/>
    <row r="522" ht="15.75" customHeight="1" s="39"/>
    <row r="523" ht="15.75" customHeight="1" s="39"/>
    <row r="524" ht="15.75" customHeight="1" s="39"/>
    <row r="525" ht="15.75" customHeight="1" s="39"/>
    <row r="526" ht="15.75" customHeight="1" s="39"/>
    <row r="527" ht="15.75" customHeight="1" s="39"/>
    <row r="528" ht="15.75" customHeight="1" s="39"/>
    <row r="529" ht="15.75" customHeight="1" s="39"/>
    <row r="530" ht="15.75" customHeight="1" s="39"/>
    <row r="531" ht="15.75" customHeight="1" s="39"/>
    <row r="532" ht="15.75" customHeight="1" s="39"/>
    <row r="533" ht="15.75" customHeight="1" s="39"/>
    <row r="534" ht="15.75" customHeight="1" s="39"/>
    <row r="535" ht="15.75" customHeight="1" s="39"/>
    <row r="536" ht="15.75" customHeight="1" s="39"/>
    <row r="537" ht="15.75" customHeight="1" s="39"/>
    <row r="538" ht="15.75" customHeight="1" s="39"/>
    <row r="539" ht="15.75" customHeight="1" s="39"/>
    <row r="540" ht="15.75" customHeight="1" s="39"/>
    <row r="541" ht="15.75" customHeight="1" s="39"/>
    <row r="542" ht="15.75" customHeight="1" s="39"/>
    <row r="543" ht="15.75" customHeight="1" s="39"/>
    <row r="544" ht="15.75" customHeight="1" s="39"/>
    <row r="545" ht="15.75" customHeight="1" s="39"/>
    <row r="546" ht="15.75" customHeight="1" s="39"/>
    <row r="547" ht="15.75" customHeight="1" s="39"/>
    <row r="548" ht="15.75" customHeight="1" s="39"/>
    <row r="549" ht="15.75" customHeight="1" s="39"/>
    <row r="550" ht="15.75" customHeight="1" s="39"/>
    <row r="551" ht="15.75" customHeight="1" s="39"/>
    <row r="552" ht="15.75" customHeight="1" s="39"/>
    <row r="553" ht="15.75" customHeight="1" s="39"/>
    <row r="554" ht="15.75" customHeight="1" s="39"/>
    <row r="555" ht="15.75" customHeight="1" s="39"/>
    <row r="556" ht="15.75" customHeight="1" s="39"/>
    <row r="557" ht="15.75" customHeight="1" s="39"/>
    <row r="558" ht="15.75" customHeight="1" s="39"/>
    <row r="559" ht="15.75" customHeight="1" s="39"/>
    <row r="560" ht="15.75" customHeight="1" s="39"/>
    <row r="561" ht="15.75" customHeight="1" s="39"/>
    <row r="562" ht="15.75" customHeight="1" s="39"/>
    <row r="563" ht="15.75" customHeight="1" s="39"/>
    <row r="564" ht="15.75" customHeight="1" s="39"/>
    <row r="565" ht="15.75" customHeight="1" s="39"/>
    <row r="566" ht="15.75" customHeight="1" s="39"/>
    <row r="567" ht="15.75" customHeight="1" s="39"/>
    <row r="568" ht="15.75" customHeight="1" s="39"/>
    <row r="569" ht="15.75" customHeight="1" s="39"/>
    <row r="570" ht="15.75" customHeight="1" s="39"/>
    <row r="571" ht="15.75" customHeight="1" s="39"/>
    <row r="572" ht="15.75" customHeight="1" s="39"/>
    <row r="573" ht="15.75" customHeight="1" s="39"/>
    <row r="574" ht="15.75" customHeight="1" s="39"/>
    <row r="575" ht="15.75" customHeight="1" s="39"/>
    <row r="576" ht="15.75" customHeight="1" s="39"/>
    <row r="577" ht="15.75" customHeight="1" s="39"/>
    <row r="578" ht="15.75" customHeight="1" s="39"/>
    <row r="579" ht="15.75" customHeight="1" s="39"/>
    <row r="580" ht="15.75" customHeight="1" s="39"/>
    <row r="581" ht="15.75" customHeight="1" s="39"/>
    <row r="582" ht="15.75" customHeight="1" s="39"/>
    <row r="583" ht="15.75" customHeight="1" s="39"/>
    <row r="584" ht="15.75" customHeight="1" s="39"/>
    <row r="585" ht="15.75" customHeight="1" s="39"/>
    <row r="586" ht="15.75" customHeight="1" s="39"/>
    <row r="587" ht="15.75" customHeight="1" s="39"/>
    <row r="588" ht="15.75" customHeight="1" s="39"/>
    <row r="589" ht="15.75" customHeight="1" s="39"/>
    <row r="590" ht="15.75" customHeight="1" s="39"/>
    <row r="591" ht="15.75" customHeight="1" s="39"/>
    <row r="592" ht="15.75" customHeight="1" s="39"/>
    <row r="593" ht="15.75" customHeight="1" s="39"/>
    <row r="594" ht="15.75" customHeight="1" s="39"/>
    <row r="595" ht="15.75" customHeight="1" s="39"/>
    <row r="596" ht="15.75" customHeight="1" s="39"/>
    <row r="597" ht="15.75" customHeight="1" s="39"/>
    <row r="598" ht="15.75" customHeight="1" s="39"/>
    <row r="599" ht="15.75" customHeight="1" s="39"/>
    <row r="600" ht="15.75" customHeight="1" s="39"/>
    <row r="601" ht="15.75" customHeight="1" s="39"/>
    <row r="602" ht="15.75" customHeight="1" s="39"/>
    <row r="603" ht="15.75" customHeight="1" s="39"/>
    <row r="604" ht="15.75" customHeight="1" s="39"/>
    <row r="605" ht="15.75" customHeight="1" s="39"/>
    <row r="606" ht="15.75" customHeight="1" s="39"/>
    <row r="607" ht="15.75" customHeight="1" s="39"/>
    <row r="608" ht="15.75" customHeight="1" s="39"/>
    <row r="609" ht="15.75" customHeight="1" s="39"/>
    <row r="610" ht="15.75" customHeight="1" s="39"/>
    <row r="611" ht="15.75" customHeight="1" s="39"/>
    <row r="612" ht="15.75" customHeight="1" s="39"/>
    <row r="613" ht="15.75" customHeight="1" s="39"/>
    <row r="614" ht="15.75" customHeight="1" s="39"/>
    <row r="615" ht="15.75" customHeight="1" s="39"/>
    <row r="616" ht="15.75" customHeight="1" s="39"/>
    <row r="617" ht="15.75" customHeight="1" s="39"/>
    <row r="618" ht="15.75" customHeight="1" s="39"/>
    <row r="619" ht="15.75" customHeight="1" s="39"/>
    <row r="620" ht="15.75" customHeight="1" s="39"/>
    <row r="621" ht="15.75" customHeight="1" s="39"/>
    <row r="622" ht="15.75" customHeight="1" s="39"/>
    <row r="623" ht="15.75" customHeight="1" s="39"/>
    <row r="624" ht="15.75" customHeight="1" s="39"/>
    <row r="625" ht="15.75" customHeight="1" s="39"/>
    <row r="626" ht="15.75" customHeight="1" s="39"/>
    <row r="627" ht="15.75" customHeight="1" s="39"/>
    <row r="628" ht="15.75" customHeight="1" s="39"/>
    <row r="629" ht="15.75" customHeight="1" s="39"/>
    <row r="630" ht="15.75" customHeight="1" s="39"/>
    <row r="631" ht="15.75" customHeight="1" s="39"/>
    <row r="632" ht="15.75" customHeight="1" s="39"/>
    <row r="633" ht="15.75" customHeight="1" s="39"/>
    <row r="634" ht="15.75" customHeight="1" s="39"/>
    <row r="635" ht="15.75" customHeight="1" s="39"/>
    <row r="636" ht="15.75" customHeight="1" s="39"/>
    <row r="637" ht="15.75" customHeight="1" s="39"/>
    <row r="638" ht="15.75" customHeight="1" s="39"/>
    <row r="639" ht="15.75" customHeight="1" s="39"/>
    <row r="640" ht="15.75" customHeight="1" s="39"/>
    <row r="641" ht="15.75" customHeight="1" s="39"/>
    <row r="642" ht="15.75" customHeight="1" s="39"/>
    <row r="643" ht="15.75" customHeight="1" s="39"/>
    <row r="644" ht="15.75" customHeight="1" s="39"/>
    <row r="645" ht="15.75" customHeight="1" s="39"/>
    <row r="646" ht="15.75" customHeight="1" s="39"/>
    <row r="647" ht="15.75" customHeight="1" s="39"/>
    <row r="648" ht="15.75" customHeight="1" s="39"/>
    <row r="649" ht="15.75" customHeight="1" s="39"/>
    <row r="650" ht="15.75" customHeight="1" s="39"/>
    <row r="651" ht="15.75" customHeight="1" s="39"/>
    <row r="652" ht="15.75" customHeight="1" s="39"/>
    <row r="653" ht="15.75" customHeight="1" s="39"/>
    <row r="654" ht="15.75" customHeight="1" s="39"/>
    <row r="655" ht="15.75" customHeight="1" s="39"/>
    <row r="656" ht="15.75" customHeight="1" s="39"/>
    <row r="657" ht="15.75" customHeight="1" s="39"/>
    <row r="658" ht="15.75" customHeight="1" s="39"/>
    <row r="659" ht="15.75" customHeight="1" s="39"/>
    <row r="660" ht="15.75" customHeight="1" s="39"/>
    <row r="661" ht="15.75" customHeight="1" s="39"/>
    <row r="662" ht="15.75" customHeight="1" s="39"/>
    <row r="663" ht="15.75" customHeight="1" s="39"/>
    <row r="664" ht="15.75" customHeight="1" s="39"/>
    <row r="665" ht="15.75" customHeight="1" s="39"/>
    <row r="666" ht="15.75" customHeight="1" s="39"/>
    <row r="667" ht="15.75" customHeight="1" s="39"/>
    <row r="668" ht="15.75" customHeight="1" s="39"/>
    <row r="669" ht="15.75" customHeight="1" s="39"/>
    <row r="670" ht="15.75" customHeight="1" s="39"/>
    <row r="671" ht="15.75" customHeight="1" s="39"/>
    <row r="672" ht="15.75" customHeight="1" s="39"/>
    <row r="673" ht="15.75" customHeight="1" s="39"/>
    <row r="674" ht="15.75" customHeight="1" s="39"/>
    <row r="675" ht="15.75" customHeight="1" s="39"/>
    <row r="676" ht="15.75" customHeight="1" s="39"/>
    <row r="677" ht="15.75" customHeight="1" s="39"/>
    <row r="678" ht="15.75" customHeight="1" s="39"/>
    <row r="679" ht="15.75" customHeight="1" s="39"/>
    <row r="680" ht="15.75" customHeight="1" s="39"/>
    <row r="681" ht="15.75" customHeight="1" s="39"/>
    <row r="682" ht="15.75" customHeight="1" s="39"/>
    <row r="683" ht="15.75" customHeight="1" s="39"/>
    <row r="684" ht="15.75" customHeight="1" s="39"/>
    <row r="685" ht="15.75" customHeight="1" s="39"/>
    <row r="686" ht="15.75" customHeight="1" s="39"/>
    <row r="687" ht="15.75" customHeight="1" s="39"/>
    <row r="688" ht="15.75" customHeight="1" s="39"/>
    <row r="689" ht="15.75" customHeight="1" s="39"/>
    <row r="690" ht="15.75" customHeight="1" s="39"/>
    <row r="691" ht="15.75" customHeight="1" s="39"/>
    <row r="692" ht="15.75" customHeight="1" s="39"/>
    <row r="693" ht="15.75" customHeight="1" s="39"/>
    <row r="694" ht="15.75" customHeight="1" s="39"/>
    <row r="695" ht="15.75" customHeight="1" s="39"/>
    <row r="696" ht="15.75" customHeight="1" s="39"/>
    <row r="697" ht="15.75" customHeight="1" s="39"/>
    <row r="698" ht="15.75" customHeight="1" s="39"/>
    <row r="699" ht="15.75" customHeight="1" s="39"/>
    <row r="700" ht="15.75" customHeight="1" s="39"/>
    <row r="701" ht="15.75" customHeight="1" s="39"/>
    <row r="702" ht="15.75" customHeight="1" s="39"/>
    <row r="703" ht="15.75" customHeight="1" s="39"/>
    <row r="704" ht="15.75" customHeight="1" s="39"/>
    <row r="705" ht="15.75" customHeight="1" s="39"/>
    <row r="706" ht="15.75" customHeight="1" s="39"/>
    <row r="707" ht="15.75" customHeight="1" s="39"/>
    <row r="708" ht="15.75" customHeight="1" s="39"/>
    <row r="709" ht="15.75" customHeight="1" s="39"/>
    <row r="710" ht="15.75" customHeight="1" s="39"/>
    <row r="711" ht="15.75" customHeight="1" s="39"/>
    <row r="712" ht="15.75" customHeight="1" s="39"/>
    <row r="713" ht="15.75" customHeight="1" s="39"/>
    <row r="714" ht="15.75" customHeight="1" s="39"/>
    <row r="715" ht="15.75" customHeight="1" s="39"/>
    <row r="716" ht="15.75" customHeight="1" s="39"/>
    <row r="717" ht="15.75" customHeight="1" s="39"/>
    <row r="718" ht="15.75" customHeight="1" s="39"/>
    <row r="719" ht="15.75" customHeight="1" s="39"/>
    <row r="720" ht="15.75" customHeight="1" s="39"/>
    <row r="721" ht="15.75" customHeight="1" s="39"/>
    <row r="722" ht="15.75" customHeight="1" s="39"/>
    <row r="723" ht="15.75" customHeight="1" s="39"/>
    <row r="724" ht="15.75" customHeight="1" s="39"/>
    <row r="725" ht="15.75" customHeight="1" s="39"/>
    <row r="726" ht="15.75" customHeight="1" s="39"/>
    <row r="727" ht="15.75" customHeight="1" s="39"/>
    <row r="728" ht="15.75" customHeight="1" s="39"/>
    <row r="729" ht="15.75" customHeight="1" s="39"/>
    <row r="730" ht="15.75" customHeight="1" s="39"/>
    <row r="731" ht="15.75" customHeight="1" s="39"/>
    <row r="732" ht="15.75" customHeight="1" s="39"/>
    <row r="733" ht="15.75" customHeight="1" s="39"/>
    <row r="734" ht="15.75" customHeight="1" s="39"/>
    <row r="735" ht="15.75" customHeight="1" s="39"/>
    <row r="736" ht="15.75" customHeight="1" s="39"/>
    <row r="737" ht="15.75" customHeight="1" s="39"/>
    <row r="738" ht="15.75" customHeight="1" s="39"/>
    <row r="739" ht="15.75" customHeight="1" s="39"/>
    <row r="740" ht="15.75" customHeight="1" s="39"/>
    <row r="741" ht="15.75" customHeight="1" s="39"/>
    <row r="742" ht="15.75" customHeight="1" s="39"/>
    <row r="743" ht="15.75" customHeight="1" s="39"/>
    <row r="744" ht="15.75" customHeight="1" s="39"/>
    <row r="745" ht="15.75" customHeight="1" s="39"/>
    <row r="746" ht="15.75" customHeight="1" s="39"/>
    <row r="747" ht="15.75" customHeight="1" s="39"/>
    <row r="748" ht="15.75" customHeight="1" s="39"/>
    <row r="749" ht="15.75" customHeight="1" s="39"/>
    <row r="750" ht="15.75" customHeight="1" s="39"/>
    <row r="751" ht="15.75" customHeight="1" s="39"/>
    <row r="752" ht="15.75" customHeight="1" s="39"/>
    <row r="753" ht="15.75" customHeight="1" s="39"/>
    <row r="754" ht="15.75" customHeight="1" s="39"/>
    <row r="755" ht="15.75" customHeight="1" s="39"/>
    <row r="756" ht="15.75" customHeight="1" s="39"/>
    <row r="757" ht="15.75" customHeight="1" s="39"/>
    <row r="758" ht="15.75" customHeight="1" s="39"/>
    <row r="759" ht="15.75" customHeight="1" s="39"/>
    <row r="760" ht="15.75" customHeight="1" s="39"/>
    <row r="761" ht="15.75" customHeight="1" s="39"/>
    <row r="762" ht="15.75" customHeight="1" s="39"/>
    <row r="763" ht="15.75" customHeight="1" s="39"/>
    <row r="764" ht="15.75" customHeight="1" s="39"/>
    <row r="765" ht="15.75" customHeight="1" s="39"/>
    <row r="766" ht="15.75" customHeight="1" s="39"/>
    <row r="767" ht="15.75" customHeight="1" s="39"/>
    <row r="768" ht="15.75" customHeight="1" s="39"/>
    <row r="769" ht="15.75" customHeight="1" s="39"/>
    <row r="770" ht="15.75" customHeight="1" s="39"/>
    <row r="771" ht="15.75" customHeight="1" s="39"/>
    <row r="772" ht="15.75" customHeight="1" s="39"/>
    <row r="773" ht="15.75" customHeight="1" s="39"/>
    <row r="774" ht="15.75" customHeight="1" s="39"/>
    <row r="775" ht="15.75" customHeight="1" s="39"/>
    <row r="776" ht="15.75" customHeight="1" s="39"/>
    <row r="777" ht="15.75" customHeight="1" s="39"/>
    <row r="778" ht="15.75" customHeight="1" s="39"/>
    <row r="779" ht="15.75" customHeight="1" s="39"/>
    <row r="780" ht="15.75" customHeight="1" s="39"/>
    <row r="781" ht="15.75" customHeight="1" s="39"/>
    <row r="782" ht="15.75" customHeight="1" s="39"/>
    <row r="783" ht="15.75" customHeight="1" s="39"/>
    <row r="784" ht="15.75" customHeight="1" s="39"/>
    <row r="785" ht="15.75" customHeight="1" s="39"/>
    <row r="786" ht="15.75" customHeight="1" s="39"/>
    <row r="787" ht="15.75" customHeight="1" s="39"/>
    <row r="788" ht="15.75" customHeight="1" s="39"/>
    <row r="789" ht="15.75" customHeight="1" s="39"/>
    <row r="790" ht="15.75" customHeight="1" s="39"/>
    <row r="791" ht="15.75" customHeight="1" s="39"/>
    <row r="792" ht="15.75" customHeight="1" s="39"/>
    <row r="793" ht="15.75" customHeight="1" s="39"/>
    <row r="794" ht="15.75" customHeight="1" s="39"/>
    <row r="795" ht="15.75" customHeight="1" s="39"/>
    <row r="796" ht="15.75" customHeight="1" s="39"/>
    <row r="797" ht="15.75" customHeight="1" s="39"/>
    <row r="798" ht="15.75" customHeight="1" s="39"/>
    <row r="799" ht="15.75" customHeight="1" s="39"/>
    <row r="800" ht="15.75" customHeight="1" s="39"/>
    <row r="801" ht="15.75" customHeight="1" s="39"/>
    <row r="802" ht="15.75" customHeight="1" s="39"/>
    <row r="803" ht="15.75" customHeight="1" s="39"/>
    <row r="804" ht="15.75" customHeight="1" s="39"/>
    <row r="805" ht="15.75" customHeight="1" s="39"/>
    <row r="806" ht="15.75" customHeight="1" s="39"/>
    <row r="807" ht="15.75" customHeight="1" s="39"/>
    <row r="808" ht="15.75" customHeight="1" s="39"/>
    <row r="809" ht="15.75" customHeight="1" s="39"/>
    <row r="810" ht="15.75" customHeight="1" s="39"/>
    <row r="811" ht="15.75" customHeight="1" s="39"/>
    <row r="812" ht="15.75" customHeight="1" s="39"/>
    <row r="813" ht="15.75" customHeight="1" s="39"/>
    <row r="814" ht="15.75" customHeight="1" s="39"/>
    <row r="815" ht="15.75" customHeight="1" s="39"/>
    <row r="816" ht="15.75" customHeight="1" s="39"/>
    <row r="817" ht="15.75" customHeight="1" s="39"/>
    <row r="818" ht="15.75" customHeight="1" s="39"/>
    <row r="819" ht="15.75" customHeight="1" s="39"/>
    <row r="820" ht="15.75" customHeight="1" s="39"/>
    <row r="821" ht="15.75" customHeight="1" s="39"/>
    <row r="822" ht="15.75" customHeight="1" s="39"/>
    <row r="823" ht="15.75" customHeight="1" s="39"/>
    <row r="824" ht="15.75" customHeight="1" s="39"/>
    <row r="825" ht="15.75" customHeight="1" s="39"/>
    <row r="826" ht="15.75" customHeight="1" s="39"/>
    <row r="827" ht="15.75" customHeight="1" s="39"/>
    <row r="828" ht="15.75" customHeight="1" s="39"/>
    <row r="829" ht="15.75" customHeight="1" s="39"/>
    <row r="830" ht="15.75" customHeight="1" s="39"/>
    <row r="831" ht="15.75" customHeight="1" s="39"/>
    <row r="832" ht="15.75" customHeight="1" s="39"/>
    <row r="833" ht="15.75" customHeight="1" s="39"/>
    <row r="834" ht="15.75" customHeight="1" s="39"/>
    <row r="835" ht="15.75" customHeight="1" s="39"/>
    <row r="836" ht="15.75" customHeight="1" s="39"/>
    <row r="837" ht="15.75" customHeight="1" s="39"/>
    <row r="838" ht="15.75" customHeight="1" s="39"/>
    <row r="839" ht="15.75" customHeight="1" s="39"/>
    <row r="840" ht="15.75" customHeight="1" s="39"/>
    <row r="841" ht="15.75" customHeight="1" s="39"/>
    <row r="842" ht="15.75" customHeight="1" s="39"/>
    <row r="843" ht="15.75" customHeight="1" s="39"/>
    <row r="844" ht="15.75" customHeight="1" s="39"/>
    <row r="845" ht="15.75" customHeight="1" s="39"/>
    <row r="846" ht="15.75" customHeight="1" s="39"/>
    <row r="847" ht="15.75" customHeight="1" s="39"/>
    <row r="848" ht="15.75" customHeight="1" s="39"/>
    <row r="849" ht="15.75" customHeight="1" s="39"/>
    <row r="850" ht="15.75" customHeight="1" s="39"/>
    <row r="851" ht="15.75" customHeight="1" s="39"/>
    <row r="852" ht="15.75" customHeight="1" s="39"/>
    <row r="853" ht="15.75" customHeight="1" s="39"/>
    <row r="854" ht="15.75" customHeight="1" s="39"/>
    <row r="855" ht="15.75" customHeight="1" s="39"/>
    <row r="856" ht="15.75" customHeight="1" s="39"/>
    <row r="857" ht="15.75" customHeight="1" s="39"/>
    <row r="858" ht="15.75" customHeight="1" s="39"/>
    <row r="859" ht="15.75" customHeight="1" s="39"/>
    <row r="860" ht="15.75" customHeight="1" s="39"/>
    <row r="861" ht="15.75" customHeight="1" s="39"/>
    <row r="862" ht="15.75" customHeight="1" s="39"/>
    <row r="863" ht="15.75" customHeight="1" s="39"/>
    <row r="864" ht="15.75" customHeight="1" s="39"/>
    <row r="865" ht="15.75" customHeight="1" s="39"/>
    <row r="866" ht="15.75" customHeight="1" s="39"/>
    <row r="867" ht="15.75" customHeight="1" s="39"/>
    <row r="868" ht="15.75" customHeight="1" s="39"/>
    <row r="869" ht="15.75" customHeight="1" s="39"/>
    <row r="870" ht="15.75" customHeight="1" s="39"/>
    <row r="871" ht="15.75" customHeight="1" s="39"/>
    <row r="872" ht="15.75" customHeight="1" s="39"/>
    <row r="873" ht="15.75" customHeight="1" s="39"/>
    <row r="874" ht="15.75" customHeight="1" s="39"/>
    <row r="875" ht="15.75" customHeight="1" s="39"/>
    <row r="876" ht="15.75" customHeight="1" s="39"/>
    <row r="877" ht="15.75" customHeight="1" s="39"/>
    <row r="878" ht="15.75" customHeight="1" s="39"/>
    <row r="879" ht="15.75" customHeight="1" s="39"/>
    <row r="880" ht="15.75" customHeight="1" s="39"/>
    <row r="881" ht="15.75" customHeight="1" s="39"/>
    <row r="882" ht="15.75" customHeight="1" s="39"/>
    <row r="883" ht="15.75" customHeight="1" s="39"/>
    <row r="884" ht="15.75" customHeight="1" s="39"/>
    <row r="885" ht="15.75" customHeight="1" s="39"/>
    <row r="886" ht="15.75" customHeight="1" s="39"/>
    <row r="887" ht="15.75" customHeight="1" s="39"/>
    <row r="888" ht="15.75" customHeight="1" s="39"/>
    <row r="889" ht="15.75" customHeight="1" s="39"/>
    <row r="890" ht="15.75" customHeight="1" s="39"/>
    <row r="891" ht="15.75" customHeight="1" s="39"/>
    <row r="892" ht="15.75" customHeight="1" s="39"/>
    <row r="893" ht="15.75" customHeight="1" s="39"/>
    <row r="894" ht="15.75" customHeight="1" s="39"/>
    <row r="895" ht="15.75" customHeight="1" s="39"/>
    <row r="896" ht="15.75" customHeight="1" s="39"/>
    <row r="897" ht="15.75" customHeight="1" s="39"/>
    <row r="898" ht="15.75" customHeight="1" s="39"/>
    <row r="899" ht="15.75" customHeight="1" s="39"/>
    <row r="900" ht="15.75" customHeight="1" s="39"/>
    <row r="901" ht="15.75" customHeight="1" s="39"/>
    <row r="902" ht="15.75" customHeight="1" s="39"/>
    <row r="903" ht="15.75" customHeight="1" s="39"/>
    <row r="904" ht="15.75" customHeight="1" s="39"/>
    <row r="905" ht="15.75" customHeight="1" s="39"/>
    <row r="906" ht="15.75" customHeight="1" s="39"/>
    <row r="907" ht="15.75" customHeight="1" s="39"/>
    <row r="908" ht="15.75" customHeight="1" s="39"/>
    <row r="909" ht="15.75" customHeight="1" s="39"/>
    <row r="910" ht="15.75" customHeight="1" s="39"/>
    <row r="911" ht="15.75" customHeight="1" s="39"/>
    <row r="912" ht="15.75" customHeight="1" s="39"/>
    <row r="913" ht="15.75" customHeight="1" s="39"/>
    <row r="914" ht="15.75" customHeight="1" s="39"/>
    <row r="915" ht="15.75" customHeight="1" s="39"/>
    <row r="916" ht="15.75" customHeight="1" s="39"/>
    <row r="917" ht="15.75" customHeight="1" s="39"/>
    <row r="918" ht="15.75" customHeight="1" s="39"/>
    <row r="919" ht="15.75" customHeight="1" s="39"/>
    <row r="920" ht="15.75" customHeight="1" s="39"/>
    <row r="921" ht="15.75" customHeight="1" s="39"/>
    <row r="922" ht="15.75" customHeight="1" s="39"/>
    <row r="923" ht="15.75" customHeight="1" s="39"/>
    <row r="924" ht="15.75" customHeight="1" s="39"/>
    <row r="925" ht="15.75" customHeight="1" s="39"/>
    <row r="926" ht="15.75" customHeight="1" s="39"/>
    <row r="927" ht="15.75" customHeight="1" s="39"/>
    <row r="928" ht="15.75" customHeight="1" s="39"/>
    <row r="929" ht="15.75" customHeight="1" s="39"/>
    <row r="930" ht="15.75" customHeight="1" s="39"/>
    <row r="931" ht="15.75" customHeight="1" s="39"/>
    <row r="932" ht="15.75" customHeight="1" s="39"/>
    <row r="933" ht="15.75" customHeight="1" s="39"/>
    <row r="934" ht="15.75" customHeight="1" s="39"/>
    <row r="935" ht="15.75" customHeight="1" s="39"/>
    <row r="936" ht="15.75" customHeight="1" s="39"/>
    <row r="937" ht="15.75" customHeight="1" s="39"/>
    <row r="938" ht="15.75" customHeight="1" s="39"/>
    <row r="939" ht="15.75" customHeight="1" s="39"/>
    <row r="940" ht="15.75" customHeight="1" s="39"/>
    <row r="941" ht="15.75" customHeight="1" s="39"/>
    <row r="942" ht="15.75" customHeight="1" s="39"/>
    <row r="943" ht="15.75" customHeight="1" s="39"/>
    <row r="944" ht="15.75" customHeight="1" s="39"/>
    <row r="945" ht="15.75" customHeight="1" s="39"/>
    <row r="946" ht="15.75" customHeight="1" s="39"/>
    <row r="947" ht="15.75" customHeight="1" s="39"/>
    <row r="948" ht="15.75" customHeight="1" s="39"/>
    <row r="949" ht="15.75" customHeight="1" s="39"/>
    <row r="950" ht="15.75" customHeight="1" s="39"/>
    <row r="951" ht="15.75" customHeight="1" s="39"/>
    <row r="952" ht="15.75" customHeight="1" s="39"/>
    <row r="953" ht="15.75" customHeight="1" s="39"/>
    <row r="954" ht="15.75" customHeight="1" s="39"/>
    <row r="955" ht="15.75" customHeight="1" s="39"/>
    <row r="956" ht="15.75" customHeight="1" s="39"/>
    <row r="957" ht="15.75" customHeight="1" s="39"/>
    <row r="958" ht="15.75" customHeight="1" s="39"/>
    <row r="959" ht="15.75" customHeight="1" s="39"/>
    <row r="960" ht="15.75" customHeight="1" s="39"/>
    <row r="961" ht="15.75" customHeight="1" s="39"/>
    <row r="962" ht="15.75" customHeight="1" s="39"/>
    <row r="963" ht="15.75" customHeight="1" s="39"/>
    <row r="964" ht="15.75" customHeight="1" s="39"/>
    <row r="965" ht="15.75" customHeight="1" s="39"/>
    <row r="966" ht="15.75" customHeight="1" s="39"/>
    <row r="967" ht="15.75" customHeight="1" s="39"/>
    <row r="968" ht="15.75" customHeight="1" s="39"/>
    <row r="969" ht="15.75" customHeight="1" s="39"/>
    <row r="970" ht="15.75" customHeight="1" s="39"/>
    <row r="971" ht="15.75" customHeight="1" s="39"/>
    <row r="972" ht="15.75" customHeight="1" s="39"/>
    <row r="973" ht="15.75" customHeight="1" s="39"/>
    <row r="974" ht="15.75" customHeight="1" s="39"/>
    <row r="975" ht="15.75" customHeight="1" s="39"/>
    <row r="976" ht="15.75" customHeight="1" s="39"/>
    <row r="977" ht="15.75" customHeight="1" s="39"/>
    <row r="978" ht="15.75" customHeight="1" s="39"/>
    <row r="979" ht="15.75" customHeight="1" s="39"/>
    <row r="980" ht="15.75" customHeight="1" s="39"/>
    <row r="981" ht="15.75" customHeight="1" s="39"/>
    <row r="982" ht="15.75" customHeight="1" s="39"/>
    <row r="983" ht="15.75" customHeight="1" s="39"/>
    <row r="984" ht="15.75" customHeight="1" s="39"/>
    <row r="985" ht="15.75" customHeight="1" s="39"/>
    <row r="986" ht="15.75" customHeight="1" s="39"/>
    <row r="987" ht="15.75" customHeight="1" s="39"/>
    <row r="988" ht="15.75" customHeight="1" s="39"/>
    <row r="989" ht="15.75" customHeight="1" s="39"/>
    <row r="990" ht="15.75" customHeight="1" s="39"/>
    <row r="991" ht="15.75" customHeight="1" s="39"/>
    <row r="992" ht="15.75" customHeight="1" s="39"/>
    <row r="993" ht="15.75" customHeight="1" s="39"/>
    <row r="994" ht="15.75" customHeight="1" s="39"/>
    <row r="995" ht="15.75" customHeight="1" s="39"/>
    <row r="996" ht="15.75" customHeight="1" s="39"/>
    <row r="997" ht="15.75" customHeight="1" s="39"/>
    <row r="998" ht="15.75" customHeight="1" s="39"/>
    <row r="999" ht="15.75" customHeight="1" s="39"/>
    <row r="1000" ht="15.75" customHeight="1" s="39"/>
  </sheetData>
  <mergeCells count="2">
    <mergeCell ref="A2:F2"/>
    <mergeCell ref="A1:F1"/>
  </mergeCells>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M47"/>
  <sheetViews>
    <sheetView workbookViewId="0">
      <selection activeCell="A1" sqref="A1"/>
    </sheetView>
  </sheetViews>
  <sheetFormatPr baseColWidth="8" defaultColWidth="14.43" defaultRowHeight="15" customHeight="1"/>
  <cols>
    <col width="80" customWidth="1" style="39" min="1" max="1"/>
    <col width="8.710000000000001" customWidth="1" style="39" min="2" max="26"/>
  </cols>
  <sheetData>
    <row r="1">
      <c r="A1" s="16" t="inlineStr">
        <is>
          <t>Charts (auto-generated)</t>
        </is>
      </c>
    </row>
    <row r="2">
      <c r="A2" s="4" t="inlineStr">
        <is>
          <t>Run: 📊 Family Finances → Generate / Refresh Charts. The Apps Script creates 4 charts on this tab from the data in Income Statement, CC Detail, Solar ROI, and Balances tabs.</t>
        </is>
      </c>
    </row>
    <row r="4">
      <c r="A4" s="30" t="inlineStr">
        <is>
          <t>Cash Flow Summary (auto)</t>
        </is>
      </c>
    </row>
    <row r="5">
      <c r="A5" s="10" t="inlineStr">
        <is>
          <t>Month</t>
        </is>
      </c>
      <c r="B5" s="10" t="inlineStr">
        <is>
          <t>Jan</t>
        </is>
      </c>
      <c r="C5" s="10" t="inlineStr">
        <is>
          <t>Feb</t>
        </is>
      </c>
      <c r="D5" s="10" t="inlineStr">
        <is>
          <t>Mar</t>
        </is>
      </c>
      <c r="E5" s="10" t="inlineStr">
        <is>
          <t>Apr</t>
        </is>
      </c>
      <c r="F5" s="10" t="inlineStr">
        <is>
          <t>May</t>
        </is>
      </c>
      <c r="G5" s="10" t="inlineStr">
        <is>
          <t>Jun</t>
        </is>
      </c>
      <c r="H5" s="10" t="inlineStr">
        <is>
          <t>Jul</t>
        </is>
      </c>
      <c r="I5" s="10" t="inlineStr">
        <is>
          <t>Aug</t>
        </is>
      </c>
      <c r="J5" s="10" t="inlineStr">
        <is>
          <t>Sep</t>
        </is>
      </c>
      <c r="K5" s="10" t="inlineStr">
        <is>
          <t>Oct</t>
        </is>
      </c>
      <c r="L5" s="10" t="inlineStr">
        <is>
          <t>Nov</t>
        </is>
      </c>
      <c r="M5" s="10" t="inlineStr">
        <is>
          <t>Dec</t>
        </is>
      </c>
    </row>
    <row r="6">
      <c r="A6" s="10" t="inlineStr">
        <is>
          <t>Total Income</t>
        </is>
      </c>
      <c r="B6" s="31">
        <f>'Income Statement'!B15</f>
        <v/>
      </c>
      <c r="C6" s="31">
        <f>'Income Statement'!C15</f>
        <v/>
      </c>
      <c r="D6" s="31">
        <f>'Income Statement'!D15</f>
        <v/>
      </c>
      <c r="E6" s="31">
        <f>'Income Statement'!E15</f>
        <v/>
      </c>
      <c r="F6" s="31">
        <f>'Income Statement'!F15</f>
        <v/>
      </c>
      <c r="G6" s="31">
        <f>'Income Statement'!G15</f>
        <v/>
      </c>
      <c r="H6" s="31">
        <f>'Income Statement'!H15</f>
        <v/>
      </c>
      <c r="I6" s="31">
        <f>'Income Statement'!I15</f>
        <v/>
      </c>
      <c r="J6" s="31">
        <f>'Income Statement'!J15</f>
        <v/>
      </c>
      <c r="K6" s="31">
        <f>'Income Statement'!K15</f>
        <v/>
      </c>
      <c r="L6" s="31">
        <f>'Income Statement'!L15</f>
        <v/>
      </c>
      <c r="M6" s="31">
        <f>'Income Statement'!M15</f>
        <v/>
      </c>
    </row>
    <row r="7">
      <c r="A7" s="10" t="inlineStr">
        <is>
          <t>Total Expenses</t>
        </is>
      </c>
      <c r="B7" s="10">
        <f>'Income Statement'!B61</f>
        <v/>
      </c>
      <c r="C7" s="10">
        <f>'Income Statement'!C61</f>
        <v/>
      </c>
      <c r="D7" s="10">
        <f>'Income Statement'!D61</f>
        <v/>
      </c>
      <c r="E7" s="10">
        <f>'Income Statement'!E61</f>
        <v/>
      </c>
      <c r="F7" s="10">
        <f>'Income Statement'!F61</f>
        <v/>
      </c>
      <c r="G7" s="10">
        <f>'Income Statement'!G61</f>
        <v/>
      </c>
      <c r="H7" s="10">
        <f>'Income Statement'!H61</f>
        <v/>
      </c>
      <c r="I7" s="10">
        <f>'Income Statement'!I61</f>
        <v/>
      </c>
      <c r="J7" s="10">
        <f>'Income Statement'!J61</f>
        <v/>
      </c>
      <c r="K7" s="10">
        <f>'Income Statement'!K61</f>
        <v/>
      </c>
      <c r="L7" s="10">
        <f>'Income Statement'!L61</f>
        <v/>
      </c>
      <c r="M7" s="10">
        <f>'Income Statement'!M61</f>
        <v/>
      </c>
    </row>
    <row r="8">
      <c r="A8" s="10" t="inlineStr">
        <is>
          <t>Net Cash Flow</t>
        </is>
      </c>
      <c r="B8" s="10">
        <f>'Income Statement'!B63</f>
        <v/>
      </c>
      <c r="C8" s="10">
        <f>'Income Statement'!C63</f>
        <v/>
      </c>
      <c r="D8" s="10">
        <f>'Income Statement'!D63</f>
        <v/>
      </c>
      <c r="E8" s="10">
        <f>'Income Statement'!E63</f>
        <v/>
      </c>
      <c r="F8" s="10">
        <f>'Income Statement'!F63</f>
        <v/>
      </c>
      <c r="G8" s="10">
        <f>'Income Statement'!G63</f>
        <v/>
      </c>
      <c r="H8" s="10">
        <f>'Income Statement'!H63</f>
        <v/>
      </c>
      <c r="I8" s="10">
        <f>'Income Statement'!I63</f>
        <v/>
      </c>
      <c r="J8" s="10">
        <f>'Income Statement'!J63</f>
        <v/>
      </c>
      <c r="K8" s="10">
        <f>'Income Statement'!K63</f>
        <v/>
      </c>
      <c r="L8" s="10">
        <f>'Income Statement'!L63</f>
        <v/>
      </c>
      <c r="M8" s="10">
        <f>'Income Statement'!M63</f>
        <v/>
      </c>
    </row>
    <row r="21" ht="15.75" customHeight="1" s="39"/>
    <row r="22" ht="15.75" customHeight="1" s="39"/>
    <row r="23" ht="15.75" customHeight="1" s="39"/>
    <row r="24" ht="15.75" customHeight="1" s="39"/>
    <row r="25" ht="15.75" customHeight="1" s="39"/>
    <row r="26" ht="15.75" customHeight="1" s="39"/>
    <row r="27" ht="15.75" customHeight="1" s="39"/>
    <row r="28" ht="15.75" customHeight="1" s="39">
      <c r="A28" s="30" t="inlineStr">
        <is>
          <t>Solar Cumulative Savings vs. Capital</t>
        </is>
      </c>
    </row>
    <row r="29" ht="15.75" customHeight="1" s="39">
      <c r="A29" s="10" t="inlineStr">
        <is>
          <t>Month</t>
        </is>
      </c>
      <c r="B29" s="10" t="inlineStr">
        <is>
          <t>Jan</t>
        </is>
      </c>
      <c r="C29" s="10" t="inlineStr">
        <is>
          <t>Feb</t>
        </is>
      </c>
      <c r="D29" s="10" t="inlineStr">
        <is>
          <t>Mar</t>
        </is>
      </c>
      <c r="E29" s="10" t="inlineStr">
        <is>
          <t>Apr</t>
        </is>
      </c>
      <c r="F29" s="10" t="inlineStr">
        <is>
          <t>May</t>
        </is>
      </c>
      <c r="G29" s="10" t="inlineStr">
        <is>
          <t>Jun</t>
        </is>
      </c>
      <c r="H29" s="10" t="inlineStr">
        <is>
          <t>Jul</t>
        </is>
      </c>
      <c r="I29" s="10" t="inlineStr">
        <is>
          <t>Aug</t>
        </is>
      </c>
      <c r="J29" s="10" t="inlineStr">
        <is>
          <t>Sep</t>
        </is>
      </c>
      <c r="K29" s="10" t="inlineStr">
        <is>
          <t>Oct</t>
        </is>
      </c>
      <c r="L29" s="10" t="inlineStr">
        <is>
          <t>Nov</t>
        </is>
      </c>
      <c r="M29" s="10" t="inlineStr">
        <is>
          <t>Dec</t>
        </is>
      </c>
    </row>
    <row r="30" ht="15.75" customHeight="1" s="39">
      <c r="A30" s="10" t="inlineStr">
        <is>
          <t>Cumulative savings</t>
        </is>
      </c>
      <c r="B30" s="31">
        <f>'Solar ROI'!B12</f>
        <v/>
      </c>
      <c r="C30" s="31">
        <f>'Solar ROI'!C12</f>
        <v/>
      </c>
      <c r="D30" s="31">
        <f>'Solar ROI'!D12</f>
        <v/>
      </c>
      <c r="E30" s="31">
        <f>'Solar ROI'!E12</f>
        <v/>
      </c>
      <c r="F30" s="31">
        <f>'Solar ROI'!F12</f>
        <v/>
      </c>
      <c r="G30" s="31">
        <f>'Solar ROI'!G12</f>
        <v/>
      </c>
      <c r="H30" s="31">
        <f>'Solar ROI'!H12</f>
        <v/>
      </c>
      <c r="I30" s="31">
        <f>'Solar ROI'!I12</f>
        <v/>
      </c>
      <c r="J30" s="31">
        <f>'Solar ROI'!J12</f>
        <v/>
      </c>
      <c r="K30" s="31">
        <f>'Solar ROI'!K12</f>
        <v/>
      </c>
      <c r="L30" s="31">
        <f>'Solar ROI'!L12</f>
        <v/>
      </c>
      <c r="M30" s="31">
        <f>'Solar ROI'!M12</f>
        <v/>
      </c>
    </row>
    <row r="31" ht="15.75" customHeight="1" s="39">
      <c r="A31" s="10" t="inlineStr">
        <is>
          <t>Net capital cost (reference)</t>
        </is>
      </c>
      <c r="B31" s="31">
        <f>'Solar ROI'!$N$7</f>
        <v/>
      </c>
      <c r="C31" s="31">
        <f>'Solar ROI'!$N$7</f>
        <v/>
      </c>
      <c r="D31" s="31">
        <f>'Solar ROI'!$N$7</f>
        <v/>
      </c>
      <c r="E31" s="31">
        <f>'Solar ROI'!$N$7</f>
        <v/>
      </c>
      <c r="F31" s="31">
        <f>'Solar ROI'!$N$7</f>
        <v/>
      </c>
      <c r="G31" s="31">
        <f>'Solar ROI'!$N$7</f>
        <v/>
      </c>
      <c r="H31" s="31">
        <f>'Solar ROI'!$N$7</f>
        <v/>
      </c>
      <c r="I31" s="31">
        <f>'Solar ROI'!$N$7</f>
        <v/>
      </c>
      <c r="J31" s="31">
        <f>'Solar ROI'!$N$7</f>
        <v/>
      </c>
      <c r="K31" s="31">
        <f>'Solar ROI'!$N$7</f>
        <v/>
      </c>
      <c r="L31" s="31">
        <f>'Solar ROI'!$N$7</f>
        <v/>
      </c>
      <c r="M31" s="31">
        <f>'Solar ROI'!$N$7</f>
        <v/>
      </c>
    </row>
    <row r="32" ht="15.75" customHeight="1" s="39"/>
    <row r="33" ht="15.75" customHeight="1" s="39"/>
    <row r="34" ht="15.75" customHeight="1" s="39"/>
    <row r="35" ht="15.75" customHeight="1" s="39"/>
    <row r="36" ht="15.75" customHeight="1" s="39"/>
    <row r="37" ht="15.75" customHeight="1" s="39"/>
    <row r="38" ht="15.75" customHeight="1" s="39"/>
    <row r="39" ht="15.75" customHeight="1" s="39"/>
    <row r="40" ht="15.75" customHeight="1" s="39"/>
    <row r="41" ht="15.75" customHeight="1" s="39"/>
    <row r="42" ht="15.75" customHeight="1" s="39"/>
    <row r="43" ht="15.75" customHeight="1" s="39"/>
    <row r="44" ht="15.75" customHeight="1" s="39"/>
    <row r="45" ht="15.75" customHeight="1" s="39">
      <c r="A45" s="30" t="inlineStr">
        <is>
          <t>Total Assets Trend</t>
        </is>
      </c>
    </row>
    <row r="46" ht="15.75" customHeight="1" s="39">
      <c r="A46" s="10" t="inlineStr">
        <is>
          <t>Month</t>
        </is>
      </c>
      <c r="B46" s="10" t="inlineStr">
        <is>
          <t>Jan</t>
        </is>
      </c>
      <c r="C46" s="10" t="inlineStr">
        <is>
          <t>Feb</t>
        </is>
      </c>
      <c r="D46" s="10" t="inlineStr">
        <is>
          <t>Mar</t>
        </is>
      </c>
      <c r="E46" s="10" t="inlineStr">
        <is>
          <t>Apr</t>
        </is>
      </c>
      <c r="F46" s="10" t="inlineStr">
        <is>
          <t>May</t>
        </is>
      </c>
      <c r="G46" s="10" t="inlineStr">
        <is>
          <t>Jun</t>
        </is>
      </c>
      <c r="H46" s="10" t="inlineStr">
        <is>
          <t>Jul</t>
        </is>
      </c>
      <c r="I46" s="10" t="inlineStr">
        <is>
          <t>Aug</t>
        </is>
      </c>
      <c r="J46" s="10" t="inlineStr">
        <is>
          <t>Sep</t>
        </is>
      </c>
      <c r="K46" s="10" t="inlineStr">
        <is>
          <t>Oct</t>
        </is>
      </c>
      <c r="L46" s="10" t="inlineStr">
        <is>
          <t>Nov</t>
        </is>
      </c>
      <c r="M46" s="10" t="inlineStr">
        <is>
          <t>Dec</t>
        </is>
      </c>
    </row>
    <row r="47" ht="15.75" customHeight="1" s="39">
      <c r="A47" s="10" t="inlineStr">
        <is>
          <t>Total assets</t>
        </is>
      </c>
      <c r="B47" s="31">
        <f>Balances!B17</f>
        <v/>
      </c>
      <c r="C47" s="31">
        <f>Balances!C17</f>
        <v/>
      </c>
      <c r="D47" s="31">
        <f>Balances!D17</f>
        <v/>
      </c>
      <c r="E47" s="31">
        <f>Balances!E17</f>
        <v/>
      </c>
      <c r="F47" s="31">
        <f>Balances!F17</f>
        <v/>
      </c>
      <c r="G47" s="31">
        <f>Balances!G17</f>
        <v/>
      </c>
      <c r="H47" s="31">
        <f>Balances!H17</f>
        <v/>
      </c>
      <c r="I47" s="31">
        <f>Balances!I17</f>
        <v/>
      </c>
      <c r="J47" s="31">
        <f>Balances!J17</f>
        <v/>
      </c>
      <c r="K47" s="31">
        <f>Balances!K17</f>
        <v/>
      </c>
      <c r="L47" s="31">
        <f>Balances!L17</f>
        <v/>
      </c>
      <c r="M47" s="31">
        <f>Balances!M17</f>
        <v/>
      </c>
    </row>
    <row r="48" ht="15.75" customHeight="1" s="39"/>
    <row r="49" ht="15.75" customHeight="1" s="39"/>
    <row r="50" ht="15.75" customHeight="1" s="39"/>
    <row r="51" ht="15.75" customHeight="1" s="39"/>
    <row r="52" ht="15.75" customHeight="1" s="39"/>
    <row r="53" ht="15.75" customHeight="1" s="39"/>
    <row r="54" ht="15.75" customHeight="1" s="39"/>
    <row r="55" ht="15.75" customHeight="1" s="39"/>
    <row r="56" ht="15.75" customHeight="1" s="39"/>
    <row r="57" ht="15.75" customHeight="1" s="39"/>
    <row r="58" ht="15.75" customHeight="1" s="39"/>
    <row r="59" ht="15.75" customHeight="1" s="39"/>
    <row r="60" ht="15.75" customHeight="1" s="39"/>
    <row r="61" ht="15.75" customHeight="1" s="39"/>
    <row r="62" ht="15.75" customHeight="1" s="39"/>
    <row r="63" ht="15.75" customHeight="1" s="39"/>
    <row r="64" ht="15.75" customHeight="1" s="39"/>
    <row r="65" ht="15.75" customHeight="1" s="39"/>
    <row r="66" ht="15.75" customHeight="1" s="39"/>
    <row r="67" ht="15.75" customHeight="1" s="39"/>
    <row r="68" ht="15.75" customHeight="1" s="39"/>
    <row r="69" ht="15.75" customHeight="1" s="39"/>
    <row r="70" ht="15.75" customHeight="1" s="39"/>
    <row r="71" ht="15.75" customHeight="1" s="39"/>
    <row r="72" ht="15.75" customHeight="1" s="39"/>
    <row r="73" ht="15.75" customHeight="1" s="39"/>
    <row r="74" ht="15.75" customHeight="1" s="39"/>
    <row r="75" ht="15.75" customHeight="1" s="39"/>
    <row r="76" ht="15.75" customHeight="1" s="39"/>
    <row r="77" ht="15.75" customHeight="1" s="39"/>
    <row r="78" ht="15.75" customHeight="1" s="39"/>
    <row r="79" ht="15.75" customHeight="1" s="39"/>
    <row r="80" ht="15.75" customHeight="1" s="39"/>
    <row r="81" ht="15.75" customHeight="1" s="39"/>
    <row r="82" ht="15.75" customHeight="1" s="39"/>
    <row r="83" ht="15.75" customHeight="1" s="39"/>
    <row r="84" ht="15.75" customHeight="1" s="39"/>
    <row r="85" ht="15.75" customHeight="1" s="39"/>
    <row r="86" ht="15.75" customHeight="1" s="39"/>
    <row r="87" ht="15.75" customHeight="1" s="39"/>
    <row r="88" ht="15.75" customHeight="1" s="39"/>
    <row r="89" ht="15.75" customHeight="1" s="39"/>
    <row r="90" ht="15.75" customHeight="1" s="39"/>
    <row r="91" ht="15.75" customHeight="1" s="39"/>
    <row r="92" ht="15.75" customHeight="1" s="39"/>
    <row r="93" ht="15.75" customHeight="1" s="39"/>
    <row r="94" ht="15.75" customHeight="1" s="39"/>
    <row r="95" ht="15.75" customHeight="1" s="39"/>
    <row r="96" ht="15.75" customHeight="1" s="39"/>
    <row r="97" ht="15.75" customHeight="1" s="39"/>
    <row r="98" ht="15.75" customHeight="1" s="39"/>
    <row r="99" ht="15.75" customHeight="1" s="39"/>
    <row r="100" ht="15.75" customHeight="1" s="39"/>
    <row r="101" ht="15.75" customHeight="1" s="39"/>
    <row r="102" ht="15.75" customHeight="1" s="39"/>
    <row r="103" ht="15.75" customHeight="1" s="39"/>
    <row r="104" ht="15.75" customHeight="1" s="39"/>
    <row r="105" ht="15.75" customHeight="1" s="39"/>
    <row r="106" ht="15.75" customHeight="1" s="39"/>
    <row r="107" ht="15.75" customHeight="1" s="39"/>
    <row r="108" ht="15.75" customHeight="1" s="39"/>
    <row r="109" ht="15.75" customHeight="1" s="39"/>
    <row r="110" ht="15.75" customHeight="1" s="39"/>
    <row r="111" ht="15.75" customHeight="1" s="39"/>
    <row r="112" ht="15.75" customHeight="1" s="39"/>
    <row r="113" ht="15.75" customHeight="1" s="39"/>
    <row r="114" ht="15.75" customHeight="1" s="39"/>
    <row r="115" ht="15.75" customHeight="1" s="39"/>
    <row r="116" ht="15.75" customHeight="1" s="39"/>
    <row r="117" ht="15.75" customHeight="1" s="39"/>
    <row r="118" ht="15.75" customHeight="1" s="39"/>
    <row r="119" ht="15.75" customHeight="1" s="39"/>
    <row r="120" ht="15.75" customHeight="1" s="39"/>
    <row r="121" ht="15.75" customHeight="1" s="39"/>
    <row r="122" ht="15.75" customHeight="1" s="39"/>
    <row r="123" ht="15.75" customHeight="1" s="39"/>
    <row r="124" ht="15.75" customHeight="1" s="39"/>
    <row r="125" ht="15.75" customHeight="1" s="39"/>
    <row r="126" ht="15.75" customHeight="1" s="39"/>
    <row r="127" ht="15.75" customHeight="1" s="39"/>
    <row r="128" ht="15.75" customHeight="1" s="39"/>
    <row r="129" ht="15.75" customHeight="1" s="39"/>
    <row r="130" ht="15.75" customHeight="1" s="39"/>
    <row r="131" ht="15.75" customHeight="1" s="39"/>
    <row r="132" ht="15.75" customHeight="1" s="39"/>
    <row r="133" ht="15.75" customHeight="1" s="39"/>
    <row r="134" ht="15.75" customHeight="1" s="39"/>
    <row r="135" ht="15.75" customHeight="1" s="39"/>
    <row r="136" ht="15.75" customHeight="1" s="39"/>
    <row r="137" ht="15.75" customHeight="1" s="39"/>
    <row r="138" ht="15.75" customHeight="1" s="39"/>
    <row r="139" ht="15.75" customHeight="1" s="39"/>
    <row r="140" ht="15.75" customHeight="1" s="39"/>
    <row r="141" ht="15.75" customHeight="1" s="39"/>
    <row r="142" ht="15.75" customHeight="1" s="39"/>
    <row r="143" ht="15.75" customHeight="1" s="39"/>
    <row r="144" ht="15.75" customHeight="1" s="39"/>
    <row r="145" ht="15.75" customHeight="1" s="39"/>
    <row r="146" ht="15.75" customHeight="1" s="39"/>
    <row r="147" ht="15.75" customHeight="1" s="39"/>
    <row r="148" ht="15.75" customHeight="1" s="39"/>
    <row r="149" ht="15.75" customHeight="1" s="39"/>
    <row r="150" ht="15.75" customHeight="1" s="39"/>
    <row r="151" ht="15.75" customHeight="1" s="39"/>
    <row r="152" ht="15.75" customHeight="1" s="39"/>
    <row r="153" ht="15.75" customHeight="1" s="39"/>
    <row r="154" ht="15.75" customHeight="1" s="39"/>
    <row r="155" ht="15.75" customHeight="1" s="39"/>
    <row r="156" ht="15.75" customHeight="1" s="39"/>
    <row r="157" ht="15.75" customHeight="1" s="39"/>
    <row r="158" ht="15.75" customHeight="1" s="39"/>
    <row r="159" ht="15.75" customHeight="1" s="39"/>
    <row r="160" ht="15.75" customHeight="1" s="39"/>
    <row r="161" ht="15.75" customHeight="1" s="39"/>
    <row r="162" ht="15.75" customHeight="1" s="39"/>
    <row r="163" ht="15.75" customHeight="1" s="39"/>
    <row r="164" ht="15.75" customHeight="1" s="39"/>
    <row r="165" ht="15.75" customHeight="1" s="39"/>
    <row r="166" ht="15.75" customHeight="1" s="39"/>
    <row r="167" ht="15.75" customHeight="1" s="39"/>
    <row r="168" ht="15.75" customHeight="1" s="39"/>
    <row r="169" ht="15.75" customHeight="1" s="39"/>
    <row r="170" ht="15.75" customHeight="1" s="39"/>
    <row r="171" ht="15.75" customHeight="1" s="39"/>
    <row r="172" ht="15.75" customHeight="1" s="39"/>
    <row r="173" ht="15.75" customHeight="1" s="39"/>
    <row r="174" ht="15.75" customHeight="1" s="39"/>
    <row r="175" ht="15.75" customHeight="1" s="39"/>
    <row r="176" ht="15.75" customHeight="1" s="39"/>
    <row r="177" ht="15.75" customHeight="1" s="39"/>
    <row r="178" ht="15.75" customHeight="1" s="39"/>
    <row r="179" ht="15.75" customHeight="1" s="39"/>
    <row r="180" ht="15.75" customHeight="1" s="39"/>
    <row r="181" ht="15.75" customHeight="1" s="39"/>
    <row r="182" ht="15.75" customHeight="1" s="39"/>
    <row r="183" ht="15.75" customHeight="1" s="39"/>
    <row r="184" ht="15.75" customHeight="1" s="39"/>
    <row r="185" ht="15.75" customHeight="1" s="39"/>
    <row r="186" ht="15.75" customHeight="1" s="39"/>
    <row r="187" ht="15.75" customHeight="1" s="39"/>
    <row r="188" ht="15.75" customHeight="1" s="39"/>
    <row r="189" ht="15.75" customHeight="1" s="39"/>
    <row r="190" ht="15.75" customHeight="1" s="39"/>
    <row r="191" ht="15.75" customHeight="1" s="39"/>
    <row r="192" ht="15.75" customHeight="1" s="39"/>
    <row r="193" ht="15.75" customHeight="1" s="39"/>
    <row r="194" ht="15.75" customHeight="1" s="39"/>
    <row r="195" ht="15.75" customHeight="1" s="39"/>
    <row r="196" ht="15.75" customHeight="1" s="39"/>
    <row r="197" ht="15.75" customHeight="1" s="39"/>
    <row r="198" ht="15.75" customHeight="1" s="39"/>
    <row r="199" ht="15.75" customHeight="1" s="39"/>
    <row r="200" ht="15.75" customHeight="1" s="39"/>
    <row r="201" ht="15.75" customHeight="1" s="39"/>
    <row r="202" ht="15.75" customHeight="1" s="39"/>
    <row r="203" ht="15.75" customHeight="1" s="39"/>
    <row r="204" ht="15.75" customHeight="1" s="39"/>
    <row r="205" ht="15.75" customHeight="1" s="39"/>
    <row r="206" ht="15.75" customHeight="1" s="39"/>
    <row r="207" ht="15.75" customHeight="1" s="39"/>
    <row r="208" ht="15.75" customHeight="1" s="39"/>
    <row r="209" ht="15.75" customHeight="1" s="39"/>
    <row r="210" ht="15.75" customHeight="1" s="39"/>
    <row r="211" ht="15.75" customHeight="1" s="39"/>
    <row r="212" ht="15.75" customHeight="1" s="39"/>
    <row r="213" ht="15.75" customHeight="1" s="39"/>
    <row r="214" ht="15.75" customHeight="1" s="39"/>
    <row r="215" ht="15.75" customHeight="1" s="39"/>
    <row r="216" ht="15.75" customHeight="1" s="39"/>
    <row r="217" ht="15.75" customHeight="1" s="39"/>
    <row r="218" ht="15.75" customHeight="1" s="39"/>
    <row r="219" ht="15.75" customHeight="1" s="39"/>
    <row r="220" ht="15.75" customHeight="1" s="39"/>
    <row r="221" ht="15.75" customHeight="1" s="39"/>
    <row r="222" ht="15.75" customHeight="1" s="39"/>
    <row r="223" ht="15.75" customHeight="1" s="39"/>
    <row r="224" ht="15.75" customHeight="1" s="39"/>
    <row r="225" ht="15.75" customHeight="1" s="39"/>
    <row r="226" ht="15.75" customHeight="1" s="39"/>
    <row r="227" ht="15.75" customHeight="1" s="39"/>
    <row r="228" ht="15.75" customHeight="1" s="39"/>
    <row r="229" ht="15.75" customHeight="1" s="39"/>
    <row r="230" ht="15.75" customHeight="1" s="39"/>
    <row r="231" ht="15.75" customHeight="1" s="39"/>
    <row r="232" ht="15.75" customHeight="1" s="39"/>
    <row r="233" ht="15.75" customHeight="1" s="39"/>
    <row r="234" ht="15.75" customHeight="1" s="39"/>
    <row r="235" ht="15.75" customHeight="1" s="39"/>
    <row r="236" ht="15.75" customHeight="1" s="39"/>
    <row r="237" ht="15.75" customHeight="1" s="39"/>
    <row r="238" ht="15.75" customHeight="1" s="39"/>
    <row r="239" ht="15.75" customHeight="1" s="39"/>
    <row r="240" ht="15.75" customHeight="1" s="39"/>
    <row r="241" ht="15.75" customHeight="1" s="39"/>
    <row r="242" ht="15.75" customHeight="1" s="39"/>
    <row r="243" ht="15.75" customHeight="1" s="39"/>
    <row r="244" ht="15.75" customHeight="1" s="39"/>
    <row r="245" ht="15.75" customHeight="1" s="39"/>
    <row r="246" ht="15.75" customHeight="1" s="39"/>
    <row r="247" ht="15.75" customHeight="1" s="39"/>
    <row r="248" ht="15.75" customHeight="1" s="39"/>
    <row r="249" ht="15.75" customHeight="1" s="39"/>
    <row r="250" ht="15.75" customHeight="1" s="39"/>
    <row r="251" ht="15.75" customHeight="1" s="39"/>
    <row r="252" ht="15.75" customHeight="1" s="39"/>
    <row r="253" ht="15.75" customHeight="1" s="39"/>
    <row r="254" ht="15.75" customHeight="1" s="39"/>
    <row r="255" ht="15.75" customHeight="1" s="39"/>
    <row r="256" ht="15.75" customHeight="1" s="39"/>
    <row r="257" ht="15.75" customHeight="1" s="39"/>
    <row r="258" ht="15.75" customHeight="1" s="39"/>
    <row r="259" ht="15.75" customHeight="1" s="39"/>
    <row r="260" ht="15.75" customHeight="1" s="39"/>
    <row r="261" ht="15.75" customHeight="1" s="39"/>
    <row r="262" ht="15.75" customHeight="1" s="39"/>
    <row r="263" ht="15.75" customHeight="1" s="39"/>
    <row r="264" ht="15.75" customHeight="1" s="39"/>
    <row r="265" ht="15.75" customHeight="1" s="39"/>
    <row r="266" ht="15.75" customHeight="1" s="39"/>
    <row r="267" ht="15.75" customHeight="1" s="39"/>
    <row r="268" ht="15.75" customHeight="1" s="39"/>
    <row r="269" ht="15.75" customHeight="1" s="39"/>
    <row r="270" ht="15.75" customHeight="1" s="39"/>
    <row r="271" ht="15.75" customHeight="1" s="39"/>
    <row r="272" ht="15.75" customHeight="1" s="39"/>
    <row r="273" ht="15.75" customHeight="1" s="39"/>
    <row r="274" ht="15.75" customHeight="1" s="39"/>
    <row r="275" ht="15.75" customHeight="1" s="39"/>
    <row r="276" ht="15.75" customHeight="1" s="39"/>
    <row r="277" ht="15.75" customHeight="1" s="39"/>
    <row r="278" ht="15.75" customHeight="1" s="39"/>
    <row r="279" ht="15.75" customHeight="1" s="39"/>
    <row r="280" ht="15.75" customHeight="1" s="39"/>
    <row r="281" ht="15.75" customHeight="1" s="39"/>
    <row r="282" ht="15.75" customHeight="1" s="39"/>
    <row r="283" ht="15.75" customHeight="1" s="39"/>
    <row r="284" ht="15.75" customHeight="1" s="39"/>
    <row r="285" ht="15.75" customHeight="1" s="39"/>
    <row r="286" ht="15.75" customHeight="1" s="39"/>
    <row r="287" ht="15.75" customHeight="1" s="39"/>
    <row r="288" ht="15.75" customHeight="1" s="39"/>
    <row r="289" ht="15.75" customHeight="1" s="39"/>
    <row r="290" ht="15.75" customHeight="1" s="39"/>
    <row r="291" ht="15.75" customHeight="1" s="39"/>
    <row r="292" ht="15.75" customHeight="1" s="39"/>
    <row r="293" ht="15.75" customHeight="1" s="39"/>
    <row r="294" ht="15.75" customHeight="1" s="39"/>
    <row r="295" ht="15.75" customHeight="1" s="39"/>
    <row r="296" ht="15.75" customHeight="1" s="39"/>
    <row r="297" ht="15.75" customHeight="1" s="39"/>
    <row r="298" ht="15.75" customHeight="1" s="39"/>
    <row r="299" ht="15.75" customHeight="1" s="39"/>
    <row r="300" ht="15.75" customHeight="1" s="39"/>
    <row r="301" ht="15.75" customHeight="1" s="39"/>
    <row r="302" ht="15.75" customHeight="1" s="39"/>
    <row r="303" ht="15.75" customHeight="1" s="39"/>
    <row r="304" ht="15.75" customHeight="1" s="39"/>
    <row r="305" ht="15.75" customHeight="1" s="39"/>
    <row r="306" ht="15.75" customHeight="1" s="39"/>
    <row r="307" ht="15.75" customHeight="1" s="39"/>
    <row r="308" ht="15.75" customHeight="1" s="39"/>
    <row r="309" ht="15.75" customHeight="1" s="39"/>
    <row r="310" ht="15.75" customHeight="1" s="39"/>
    <row r="311" ht="15.75" customHeight="1" s="39"/>
    <row r="312" ht="15.75" customHeight="1" s="39"/>
    <row r="313" ht="15.75" customHeight="1" s="39"/>
    <row r="314" ht="15.75" customHeight="1" s="39"/>
    <row r="315" ht="15.75" customHeight="1" s="39"/>
    <row r="316" ht="15.75" customHeight="1" s="39"/>
    <row r="317" ht="15.75" customHeight="1" s="39"/>
    <row r="318" ht="15.75" customHeight="1" s="39"/>
    <row r="319" ht="15.75" customHeight="1" s="39"/>
    <row r="320" ht="15.75" customHeight="1" s="39"/>
    <row r="321" ht="15.75" customHeight="1" s="39"/>
    <row r="322" ht="15.75" customHeight="1" s="39"/>
    <row r="323" ht="15.75" customHeight="1" s="39"/>
    <row r="324" ht="15.75" customHeight="1" s="39"/>
    <row r="325" ht="15.75" customHeight="1" s="39"/>
    <row r="326" ht="15.75" customHeight="1" s="39"/>
    <row r="327" ht="15.75" customHeight="1" s="39"/>
    <row r="328" ht="15.75" customHeight="1" s="39"/>
    <row r="329" ht="15.75" customHeight="1" s="39"/>
    <row r="330" ht="15.75" customHeight="1" s="39"/>
    <row r="331" ht="15.75" customHeight="1" s="39"/>
    <row r="332" ht="15.75" customHeight="1" s="39"/>
    <row r="333" ht="15.75" customHeight="1" s="39"/>
    <row r="334" ht="15.75" customHeight="1" s="39"/>
    <row r="335" ht="15.75" customHeight="1" s="39"/>
    <row r="336" ht="15.75" customHeight="1" s="39"/>
    <row r="337" ht="15.75" customHeight="1" s="39"/>
    <row r="338" ht="15.75" customHeight="1" s="39"/>
    <row r="339" ht="15.75" customHeight="1" s="39"/>
    <row r="340" ht="15.75" customHeight="1" s="39"/>
    <row r="341" ht="15.75" customHeight="1" s="39"/>
    <row r="342" ht="15.75" customHeight="1" s="39"/>
    <row r="343" ht="15.75" customHeight="1" s="39"/>
    <row r="344" ht="15.75" customHeight="1" s="39"/>
    <row r="345" ht="15.75" customHeight="1" s="39"/>
    <row r="346" ht="15.75" customHeight="1" s="39"/>
    <row r="347" ht="15.75" customHeight="1" s="39"/>
    <row r="348" ht="15.75" customHeight="1" s="39"/>
    <row r="349" ht="15.75" customHeight="1" s="39"/>
    <row r="350" ht="15.75" customHeight="1" s="39"/>
    <row r="351" ht="15.75" customHeight="1" s="39"/>
    <row r="352" ht="15.75" customHeight="1" s="39"/>
    <row r="353" ht="15.75" customHeight="1" s="39"/>
    <row r="354" ht="15.75" customHeight="1" s="39"/>
    <row r="355" ht="15.75" customHeight="1" s="39"/>
    <row r="356" ht="15.75" customHeight="1" s="39"/>
    <row r="357" ht="15.75" customHeight="1" s="39"/>
    <row r="358" ht="15.75" customHeight="1" s="39"/>
    <row r="359" ht="15.75" customHeight="1" s="39"/>
    <row r="360" ht="15.75" customHeight="1" s="39"/>
    <row r="361" ht="15.75" customHeight="1" s="39"/>
    <row r="362" ht="15.75" customHeight="1" s="39"/>
    <row r="363" ht="15.75" customHeight="1" s="39"/>
    <row r="364" ht="15.75" customHeight="1" s="39"/>
    <row r="365" ht="15.75" customHeight="1" s="39"/>
    <row r="366" ht="15.75" customHeight="1" s="39"/>
    <row r="367" ht="15.75" customHeight="1" s="39"/>
    <row r="368" ht="15.75" customHeight="1" s="39"/>
    <row r="369" ht="15.75" customHeight="1" s="39"/>
    <row r="370" ht="15.75" customHeight="1" s="39"/>
    <row r="371" ht="15.75" customHeight="1" s="39"/>
    <row r="372" ht="15.75" customHeight="1" s="39"/>
    <row r="373" ht="15.75" customHeight="1" s="39"/>
    <row r="374" ht="15.75" customHeight="1" s="39"/>
    <row r="375" ht="15.75" customHeight="1" s="39"/>
    <row r="376" ht="15.75" customHeight="1" s="39"/>
    <row r="377" ht="15.75" customHeight="1" s="39"/>
    <row r="378" ht="15.75" customHeight="1" s="39"/>
    <row r="379" ht="15.75" customHeight="1" s="39"/>
    <row r="380" ht="15.75" customHeight="1" s="39"/>
    <row r="381" ht="15.75" customHeight="1" s="39"/>
    <row r="382" ht="15.75" customHeight="1" s="39"/>
    <row r="383" ht="15.75" customHeight="1" s="39"/>
    <row r="384" ht="15.75" customHeight="1" s="39"/>
    <row r="385" ht="15.75" customHeight="1" s="39"/>
    <row r="386" ht="15.75" customHeight="1" s="39"/>
    <row r="387" ht="15.75" customHeight="1" s="39"/>
    <row r="388" ht="15.75" customHeight="1" s="39"/>
    <row r="389" ht="15.75" customHeight="1" s="39"/>
    <row r="390" ht="15.75" customHeight="1" s="39"/>
    <row r="391" ht="15.75" customHeight="1" s="39"/>
    <row r="392" ht="15.75" customHeight="1" s="39"/>
    <row r="393" ht="15.75" customHeight="1" s="39"/>
    <row r="394" ht="15.75" customHeight="1" s="39"/>
    <row r="395" ht="15.75" customHeight="1" s="39"/>
    <row r="396" ht="15.75" customHeight="1" s="39"/>
    <row r="397" ht="15.75" customHeight="1" s="39"/>
    <row r="398" ht="15.75" customHeight="1" s="39"/>
    <row r="399" ht="15.75" customHeight="1" s="39"/>
    <row r="400" ht="15.75" customHeight="1" s="39"/>
    <row r="401" ht="15.75" customHeight="1" s="39"/>
    <row r="402" ht="15.75" customHeight="1" s="39"/>
    <row r="403" ht="15.75" customHeight="1" s="39"/>
    <row r="404" ht="15.75" customHeight="1" s="39"/>
    <row r="405" ht="15.75" customHeight="1" s="39"/>
    <row r="406" ht="15.75" customHeight="1" s="39"/>
    <row r="407" ht="15.75" customHeight="1" s="39"/>
    <row r="408" ht="15.75" customHeight="1" s="39"/>
    <row r="409" ht="15.75" customHeight="1" s="39"/>
    <row r="410" ht="15.75" customHeight="1" s="39"/>
    <row r="411" ht="15.75" customHeight="1" s="39"/>
    <row r="412" ht="15.75" customHeight="1" s="39"/>
    <row r="413" ht="15.75" customHeight="1" s="39"/>
    <row r="414" ht="15.75" customHeight="1" s="39"/>
    <row r="415" ht="15.75" customHeight="1" s="39"/>
    <row r="416" ht="15.75" customHeight="1" s="39"/>
    <row r="417" ht="15.75" customHeight="1" s="39"/>
    <row r="418" ht="15.75" customHeight="1" s="39"/>
    <row r="419" ht="15.75" customHeight="1" s="39"/>
    <row r="420" ht="15.75" customHeight="1" s="39"/>
    <row r="421" ht="15.75" customHeight="1" s="39"/>
    <row r="422" ht="15.75" customHeight="1" s="39"/>
    <row r="423" ht="15.75" customHeight="1" s="39"/>
    <row r="424" ht="15.75" customHeight="1" s="39"/>
    <row r="425" ht="15.75" customHeight="1" s="39"/>
    <row r="426" ht="15.75" customHeight="1" s="39"/>
    <row r="427" ht="15.75" customHeight="1" s="39"/>
    <row r="428" ht="15.75" customHeight="1" s="39"/>
    <row r="429" ht="15.75" customHeight="1" s="39"/>
    <row r="430" ht="15.75" customHeight="1" s="39"/>
    <row r="431" ht="15.75" customHeight="1" s="39"/>
    <row r="432" ht="15.75" customHeight="1" s="39"/>
    <row r="433" ht="15.75" customHeight="1" s="39"/>
    <row r="434" ht="15.75" customHeight="1" s="39"/>
    <row r="435" ht="15.75" customHeight="1" s="39"/>
    <row r="436" ht="15.75" customHeight="1" s="39"/>
    <row r="437" ht="15.75" customHeight="1" s="39"/>
    <row r="438" ht="15.75" customHeight="1" s="39"/>
    <row r="439" ht="15.75" customHeight="1" s="39"/>
    <row r="440" ht="15.75" customHeight="1" s="39"/>
    <row r="441" ht="15.75" customHeight="1" s="39"/>
    <row r="442" ht="15.75" customHeight="1" s="39"/>
    <row r="443" ht="15.75" customHeight="1" s="39"/>
    <row r="444" ht="15.75" customHeight="1" s="39"/>
    <row r="445" ht="15.75" customHeight="1" s="39"/>
    <row r="446" ht="15.75" customHeight="1" s="39"/>
    <row r="447" ht="15.75" customHeight="1" s="39"/>
    <row r="448" ht="15.75" customHeight="1" s="39"/>
    <row r="449" ht="15.75" customHeight="1" s="39"/>
    <row r="450" ht="15.75" customHeight="1" s="39"/>
    <row r="451" ht="15.75" customHeight="1" s="39"/>
    <row r="452" ht="15.75" customHeight="1" s="39"/>
    <row r="453" ht="15.75" customHeight="1" s="39"/>
    <row r="454" ht="15.75" customHeight="1" s="39"/>
    <row r="455" ht="15.75" customHeight="1" s="39"/>
    <row r="456" ht="15.75" customHeight="1" s="39"/>
    <row r="457" ht="15.75" customHeight="1" s="39"/>
    <row r="458" ht="15.75" customHeight="1" s="39"/>
    <row r="459" ht="15.75" customHeight="1" s="39"/>
    <row r="460" ht="15.75" customHeight="1" s="39"/>
    <row r="461" ht="15.75" customHeight="1" s="39"/>
    <row r="462" ht="15.75" customHeight="1" s="39"/>
    <row r="463" ht="15.75" customHeight="1" s="39"/>
    <row r="464" ht="15.75" customHeight="1" s="39"/>
    <row r="465" ht="15.75" customHeight="1" s="39"/>
    <row r="466" ht="15.75" customHeight="1" s="39"/>
    <row r="467" ht="15.75" customHeight="1" s="39"/>
    <row r="468" ht="15.75" customHeight="1" s="39"/>
    <row r="469" ht="15.75" customHeight="1" s="39"/>
    <row r="470" ht="15.75" customHeight="1" s="39"/>
    <row r="471" ht="15.75" customHeight="1" s="39"/>
    <row r="472" ht="15.75" customHeight="1" s="39"/>
    <row r="473" ht="15.75" customHeight="1" s="39"/>
    <row r="474" ht="15.75" customHeight="1" s="39"/>
    <row r="475" ht="15.75" customHeight="1" s="39"/>
    <row r="476" ht="15.75" customHeight="1" s="39"/>
    <row r="477" ht="15.75" customHeight="1" s="39"/>
    <row r="478" ht="15.75" customHeight="1" s="39"/>
    <row r="479" ht="15.75" customHeight="1" s="39"/>
    <row r="480" ht="15.75" customHeight="1" s="39"/>
    <row r="481" ht="15.75" customHeight="1" s="39"/>
    <row r="482" ht="15.75" customHeight="1" s="39"/>
    <row r="483" ht="15.75" customHeight="1" s="39"/>
    <row r="484" ht="15.75" customHeight="1" s="39"/>
    <row r="485" ht="15.75" customHeight="1" s="39"/>
    <row r="486" ht="15.75" customHeight="1" s="39"/>
    <row r="487" ht="15.75" customHeight="1" s="39"/>
    <row r="488" ht="15.75" customHeight="1" s="39"/>
    <row r="489" ht="15.75" customHeight="1" s="39"/>
    <row r="490" ht="15.75" customHeight="1" s="39"/>
    <row r="491" ht="15.75" customHeight="1" s="39"/>
    <row r="492" ht="15.75" customHeight="1" s="39"/>
    <row r="493" ht="15.75" customHeight="1" s="39"/>
    <row r="494" ht="15.75" customHeight="1" s="39"/>
    <row r="495" ht="15.75" customHeight="1" s="39"/>
    <row r="496" ht="15.75" customHeight="1" s="39"/>
    <row r="497" ht="15.75" customHeight="1" s="39"/>
    <row r="498" ht="15.75" customHeight="1" s="39"/>
    <row r="499" ht="15.75" customHeight="1" s="39"/>
    <row r="500" ht="15.75" customHeight="1" s="39"/>
    <row r="501" ht="15.75" customHeight="1" s="39"/>
    <row r="502" ht="15.75" customHeight="1" s="39"/>
    <row r="503" ht="15.75" customHeight="1" s="39"/>
    <row r="504" ht="15.75" customHeight="1" s="39"/>
    <row r="505" ht="15.75" customHeight="1" s="39"/>
    <row r="506" ht="15.75" customHeight="1" s="39"/>
    <row r="507" ht="15.75" customHeight="1" s="39"/>
    <row r="508" ht="15.75" customHeight="1" s="39"/>
    <row r="509" ht="15.75" customHeight="1" s="39"/>
    <row r="510" ht="15.75" customHeight="1" s="39"/>
    <row r="511" ht="15.75" customHeight="1" s="39"/>
    <row r="512" ht="15.75" customHeight="1" s="39"/>
    <row r="513" ht="15.75" customHeight="1" s="39"/>
    <row r="514" ht="15.75" customHeight="1" s="39"/>
    <row r="515" ht="15.75" customHeight="1" s="39"/>
    <row r="516" ht="15.75" customHeight="1" s="39"/>
    <row r="517" ht="15.75" customHeight="1" s="39"/>
    <row r="518" ht="15.75" customHeight="1" s="39"/>
    <row r="519" ht="15.75" customHeight="1" s="39"/>
    <row r="520" ht="15.75" customHeight="1" s="39"/>
    <row r="521" ht="15.75" customHeight="1" s="39"/>
    <row r="522" ht="15.75" customHeight="1" s="39"/>
    <row r="523" ht="15.75" customHeight="1" s="39"/>
    <row r="524" ht="15.75" customHeight="1" s="39"/>
    <row r="525" ht="15.75" customHeight="1" s="39"/>
    <row r="526" ht="15.75" customHeight="1" s="39"/>
    <row r="527" ht="15.75" customHeight="1" s="39"/>
    <row r="528" ht="15.75" customHeight="1" s="39"/>
    <row r="529" ht="15.75" customHeight="1" s="39"/>
    <row r="530" ht="15.75" customHeight="1" s="39"/>
    <row r="531" ht="15.75" customHeight="1" s="39"/>
    <row r="532" ht="15.75" customHeight="1" s="39"/>
    <row r="533" ht="15.75" customHeight="1" s="39"/>
    <row r="534" ht="15.75" customHeight="1" s="39"/>
    <row r="535" ht="15.75" customHeight="1" s="39"/>
    <row r="536" ht="15.75" customHeight="1" s="39"/>
    <row r="537" ht="15.75" customHeight="1" s="39"/>
    <row r="538" ht="15.75" customHeight="1" s="39"/>
    <row r="539" ht="15.75" customHeight="1" s="39"/>
    <row r="540" ht="15.75" customHeight="1" s="39"/>
    <row r="541" ht="15.75" customHeight="1" s="39"/>
    <row r="542" ht="15.75" customHeight="1" s="39"/>
    <row r="543" ht="15.75" customHeight="1" s="39"/>
    <row r="544" ht="15.75" customHeight="1" s="39"/>
    <row r="545" ht="15.75" customHeight="1" s="39"/>
    <row r="546" ht="15.75" customHeight="1" s="39"/>
    <row r="547" ht="15.75" customHeight="1" s="39"/>
    <row r="548" ht="15.75" customHeight="1" s="39"/>
    <row r="549" ht="15.75" customHeight="1" s="39"/>
    <row r="550" ht="15.75" customHeight="1" s="39"/>
    <row r="551" ht="15.75" customHeight="1" s="39"/>
    <row r="552" ht="15.75" customHeight="1" s="39"/>
    <row r="553" ht="15.75" customHeight="1" s="39"/>
    <row r="554" ht="15.75" customHeight="1" s="39"/>
    <row r="555" ht="15.75" customHeight="1" s="39"/>
    <row r="556" ht="15.75" customHeight="1" s="39"/>
    <row r="557" ht="15.75" customHeight="1" s="39"/>
    <row r="558" ht="15.75" customHeight="1" s="39"/>
    <row r="559" ht="15.75" customHeight="1" s="39"/>
    <row r="560" ht="15.75" customHeight="1" s="39"/>
    <row r="561" ht="15.75" customHeight="1" s="39"/>
    <row r="562" ht="15.75" customHeight="1" s="39"/>
    <row r="563" ht="15.75" customHeight="1" s="39"/>
    <row r="564" ht="15.75" customHeight="1" s="39"/>
    <row r="565" ht="15.75" customHeight="1" s="39"/>
    <row r="566" ht="15.75" customHeight="1" s="39"/>
    <row r="567" ht="15.75" customHeight="1" s="39"/>
    <row r="568" ht="15.75" customHeight="1" s="39"/>
    <row r="569" ht="15.75" customHeight="1" s="39"/>
    <row r="570" ht="15.75" customHeight="1" s="39"/>
    <row r="571" ht="15.75" customHeight="1" s="39"/>
    <row r="572" ht="15.75" customHeight="1" s="39"/>
    <row r="573" ht="15.75" customHeight="1" s="39"/>
    <row r="574" ht="15.75" customHeight="1" s="39"/>
    <row r="575" ht="15.75" customHeight="1" s="39"/>
    <row r="576" ht="15.75" customHeight="1" s="39"/>
    <row r="577" ht="15.75" customHeight="1" s="39"/>
    <row r="578" ht="15.75" customHeight="1" s="39"/>
    <row r="579" ht="15.75" customHeight="1" s="39"/>
    <row r="580" ht="15.75" customHeight="1" s="39"/>
    <row r="581" ht="15.75" customHeight="1" s="39"/>
    <row r="582" ht="15.75" customHeight="1" s="39"/>
    <row r="583" ht="15.75" customHeight="1" s="39"/>
    <row r="584" ht="15.75" customHeight="1" s="39"/>
    <row r="585" ht="15.75" customHeight="1" s="39"/>
    <row r="586" ht="15.75" customHeight="1" s="39"/>
    <row r="587" ht="15.75" customHeight="1" s="39"/>
    <row r="588" ht="15.75" customHeight="1" s="39"/>
    <row r="589" ht="15.75" customHeight="1" s="39"/>
    <row r="590" ht="15.75" customHeight="1" s="39"/>
    <row r="591" ht="15.75" customHeight="1" s="39"/>
    <row r="592" ht="15.75" customHeight="1" s="39"/>
    <row r="593" ht="15.75" customHeight="1" s="39"/>
    <row r="594" ht="15.75" customHeight="1" s="39"/>
    <row r="595" ht="15.75" customHeight="1" s="39"/>
    <row r="596" ht="15.75" customHeight="1" s="39"/>
    <row r="597" ht="15.75" customHeight="1" s="39"/>
    <row r="598" ht="15.75" customHeight="1" s="39"/>
    <row r="599" ht="15.75" customHeight="1" s="39"/>
    <row r="600" ht="15.75" customHeight="1" s="39"/>
    <row r="601" ht="15.75" customHeight="1" s="39"/>
    <row r="602" ht="15.75" customHeight="1" s="39"/>
    <row r="603" ht="15.75" customHeight="1" s="39"/>
    <row r="604" ht="15.75" customHeight="1" s="39"/>
    <row r="605" ht="15.75" customHeight="1" s="39"/>
    <row r="606" ht="15.75" customHeight="1" s="39"/>
    <row r="607" ht="15.75" customHeight="1" s="39"/>
    <row r="608" ht="15.75" customHeight="1" s="39"/>
    <row r="609" ht="15.75" customHeight="1" s="39"/>
    <row r="610" ht="15.75" customHeight="1" s="39"/>
    <row r="611" ht="15.75" customHeight="1" s="39"/>
    <row r="612" ht="15.75" customHeight="1" s="39"/>
    <row r="613" ht="15.75" customHeight="1" s="39"/>
    <row r="614" ht="15.75" customHeight="1" s="39"/>
    <row r="615" ht="15.75" customHeight="1" s="39"/>
    <row r="616" ht="15.75" customHeight="1" s="39"/>
    <row r="617" ht="15.75" customHeight="1" s="39"/>
    <row r="618" ht="15.75" customHeight="1" s="39"/>
    <row r="619" ht="15.75" customHeight="1" s="39"/>
    <row r="620" ht="15.75" customHeight="1" s="39"/>
    <row r="621" ht="15.75" customHeight="1" s="39"/>
    <row r="622" ht="15.75" customHeight="1" s="39"/>
    <row r="623" ht="15.75" customHeight="1" s="39"/>
    <row r="624" ht="15.75" customHeight="1" s="39"/>
    <row r="625" ht="15.75" customHeight="1" s="39"/>
    <row r="626" ht="15.75" customHeight="1" s="39"/>
    <row r="627" ht="15.75" customHeight="1" s="39"/>
    <row r="628" ht="15.75" customHeight="1" s="39"/>
    <row r="629" ht="15.75" customHeight="1" s="39"/>
    <row r="630" ht="15.75" customHeight="1" s="39"/>
    <row r="631" ht="15.75" customHeight="1" s="39"/>
    <row r="632" ht="15.75" customHeight="1" s="39"/>
    <row r="633" ht="15.75" customHeight="1" s="39"/>
    <row r="634" ht="15.75" customHeight="1" s="39"/>
    <row r="635" ht="15.75" customHeight="1" s="39"/>
    <row r="636" ht="15.75" customHeight="1" s="39"/>
    <row r="637" ht="15.75" customHeight="1" s="39"/>
    <row r="638" ht="15.75" customHeight="1" s="39"/>
    <row r="639" ht="15.75" customHeight="1" s="39"/>
    <row r="640" ht="15.75" customHeight="1" s="39"/>
    <row r="641" ht="15.75" customHeight="1" s="39"/>
    <row r="642" ht="15.75" customHeight="1" s="39"/>
    <row r="643" ht="15.75" customHeight="1" s="39"/>
    <row r="644" ht="15.75" customHeight="1" s="39"/>
    <row r="645" ht="15.75" customHeight="1" s="39"/>
    <row r="646" ht="15.75" customHeight="1" s="39"/>
    <row r="647" ht="15.75" customHeight="1" s="39"/>
    <row r="648" ht="15.75" customHeight="1" s="39"/>
    <row r="649" ht="15.75" customHeight="1" s="39"/>
    <row r="650" ht="15.75" customHeight="1" s="39"/>
    <row r="651" ht="15.75" customHeight="1" s="39"/>
    <row r="652" ht="15.75" customHeight="1" s="39"/>
    <row r="653" ht="15.75" customHeight="1" s="39"/>
    <row r="654" ht="15.75" customHeight="1" s="39"/>
    <row r="655" ht="15.75" customHeight="1" s="39"/>
    <row r="656" ht="15.75" customHeight="1" s="39"/>
    <row r="657" ht="15.75" customHeight="1" s="39"/>
    <row r="658" ht="15.75" customHeight="1" s="39"/>
    <row r="659" ht="15.75" customHeight="1" s="39"/>
    <row r="660" ht="15.75" customHeight="1" s="39"/>
    <row r="661" ht="15.75" customHeight="1" s="39"/>
    <row r="662" ht="15.75" customHeight="1" s="39"/>
    <row r="663" ht="15.75" customHeight="1" s="39"/>
    <row r="664" ht="15.75" customHeight="1" s="39"/>
    <row r="665" ht="15.75" customHeight="1" s="39"/>
    <row r="666" ht="15.75" customHeight="1" s="39"/>
    <row r="667" ht="15.75" customHeight="1" s="39"/>
    <row r="668" ht="15.75" customHeight="1" s="39"/>
    <row r="669" ht="15.75" customHeight="1" s="39"/>
    <row r="670" ht="15.75" customHeight="1" s="39"/>
    <row r="671" ht="15.75" customHeight="1" s="39"/>
    <row r="672" ht="15.75" customHeight="1" s="39"/>
    <row r="673" ht="15.75" customHeight="1" s="39"/>
    <row r="674" ht="15.75" customHeight="1" s="39"/>
    <row r="675" ht="15.75" customHeight="1" s="39"/>
    <row r="676" ht="15.75" customHeight="1" s="39"/>
    <row r="677" ht="15.75" customHeight="1" s="39"/>
    <row r="678" ht="15.75" customHeight="1" s="39"/>
    <row r="679" ht="15.75" customHeight="1" s="39"/>
    <row r="680" ht="15.75" customHeight="1" s="39"/>
    <row r="681" ht="15.75" customHeight="1" s="39"/>
    <row r="682" ht="15.75" customHeight="1" s="39"/>
    <row r="683" ht="15.75" customHeight="1" s="39"/>
    <row r="684" ht="15.75" customHeight="1" s="39"/>
    <row r="685" ht="15.75" customHeight="1" s="39"/>
    <row r="686" ht="15.75" customHeight="1" s="39"/>
    <row r="687" ht="15.75" customHeight="1" s="39"/>
    <row r="688" ht="15.75" customHeight="1" s="39"/>
    <row r="689" ht="15.75" customHeight="1" s="39"/>
    <row r="690" ht="15.75" customHeight="1" s="39"/>
    <row r="691" ht="15.75" customHeight="1" s="39"/>
    <row r="692" ht="15.75" customHeight="1" s="39"/>
    <row r="693" ht="15.75" customHeight="1" s="39"/>
    <row r="694" ht="15.75" customHeight="1" s="39"/>
    <row r="695" ht="15.75" customHeight="1" s="39"/>
    <row r="696" ht="15.75" customHeight="1" s="39"/>
    <row r="697" ht="15.75" customHeight="1" s="39"/>
    <row r="698" ht="15.75" customHeight="1" s="39"/>
    <row r="699" ht="15.75" customHeight="1" s="39"/>
    <row r="700" ht="15.75" customHeight="1" s="39"/>
    <row r="701" ht="15.75" customHeight="1" s="39"/>
    <row r="702" ht="15.75" customHeight="1" s="39"/>
    <row r="703" ht="15.75" customHeight="1" s="39"/>
    <row r="704" ht="15.75" customHeight="1" s="39"/>
    <row r="705" ht="15.75" customHeight="1" s="39"/>
    <row r="706" ht="15.75" customHeight="1" s="39"/>
    <row r="707" ht="15.75" customHeight="1" s="39"/>
    <row r="708" ht="15.75" customHeight="1" s="39"/>
    <row r="709" ht="15.75" customHeight="1" s="39"/>
    <row r="710" ht="15.75" customHeight="1" s="39"/>
    <row r="711" ht="15.75" customHeight="1" s="39"/>
    <row r="712" ht="15.75" customHeight="1" s="39"/>
    <row r="713" ht="15.75" customHeight="1" s="39"/>
    <row r="714" ht="15.75" customHeight="1" s="39"/>
    <row r="715" ht="15.75" customHeight="1" s="39"/>
    <row r="716" ht="15.75" customHeight="1" s="39"/>
    <row r="717" ht="15.75" customHeight="1" s="39"/>
    <row r="718" ht="15.75" customHeight="1" s="39"/>
    <row r="719" ht="15.75" customHeight="1" s="39"/>
    <row r="720" ht="15.75" customHeight="1" s="39"/>
    <row r="721" ht="15.75" customHeight="1" s="39"/>
    <row r="722" ht="15.75" customHeight="1" s="39"/>
    <row r="723" ht="15.75" customHeight="1" s="39"/>
    <row r="724" ht="15.75" customHeight="1" s="39"/>
    <row r="725" ht="15.75" customHeight="1" s="39"/>
    <row r="726" ht="15.75" customHeight="1" s="39"/>
    <row r="727" ht="15.75" customHeight="1" s="39"/>
    <row r="728" ht="15.75" customHeight="1" s="39"/>
    <row r="729" ht="15.75" customHeight="1" s="39"/>
    <row r="730" ht="15.75" customHeight="1" s="39"/>
    <row r="731" ht="15.75" customHeight="1" s="39"/>
    <row r="732" ht="15.75" customHeight="1" s="39"/>
    <row r="733" ht="15.75" customHeight="1" s="39"/>
    <row r="734" ht="15.75" customHeight="1" s="39"/>
    <row r="735" ht="15.75" customHeight="1" s="39"/>
    <row r="736" ht="15.75" customHeight="1" s="39"/>
    <row r="737" ht="15.75" customHeight="1" s="39"/>
    <row r="738" ht="15.75" customHeight="1" s="39"/>
    <row r="739" ht="15.75" customHeight="1" s="39"/>
    <row r="740" ht="15.75" customHeight="1" s="39"/>
    <row r="741" ht="15.75" customHeight="1" s="39"/>
    <row r="742" ht="15.75" customHeight="1" s="39"/>
    <row r="743" ht="15.75" customHeight="1" s="39"/>
    <row r="744" ht="15.75" customHeight="1" s="39"/>
    <row r="745" ht="15.75" customHeight="1" s="39"/>
    <row r="746" ht="15.75" customHeight="1" s="39"/>
    <row r="747" ht="15.75" customHeight="1" s="39"/>
    <row r="748" ht="15.75" customHeight="1" s="39"/>
    <row r="749" ht="15.75" customHeight="1" s="39"/>
    <row r="750" ht="15.75" customHeight="1" s="39"/>
    <row r="751" ht="15.75" customHeight="1" s="39"/>
    <row r="752" ht="15.75" customHeight="1" s="39"/>
    <row r="753" ht="15.75" customHeight="1" s="39"/>
    <row r="754" ht="15.75" customHeight="1" s="39"/>
    <row r="755" ht="15.75" customHeight="1" s="39"/>
    <row r="756" ht="15.75" customHeight="1" s="39"/>
    <row r="757" ht="15.75" customHeight="1" s="39"/>
    <row r="758" ht="15.75" customHeight="1" s="39"/>
    <row r="759" ht="15.75" customHeight="1" s="39"/>
    <row r="760" ht="15.75" customHeight="1" s="39"/>
    <row r="761" ht="15.75" customHeight="1" s="39"/>
    <row r="762" ht="15.75" customHeight="1" s="39"/>
    <row r="763" ht="15.75" customHeight="1" s="39"/>
    <row r="764" ht="15.75" customHeight="1" s="39"/>
    <row r="765" ht="15.75" customHeight="1" s="39"/>
    <row r="766" ht="15.75" customHeight="1" s="39"/>
    <row r="767" ht="15.75" customHeight="1" s="39"/>
    <row r="768" ht="15.75" customHeight="1" s="39"/>
    <row r="769" ht="15.75" customHeight="1" s="39"/>
    <row r="770" ht="15.75" customHeight="1" s="39"/>
    <row r="771" ht="15.75" customHeight="1" s="39"/>
    <row r="772" ht="15.75" customHeight="1" s="39"/>
    <row r="773" ht="15.75" customHeight="1" s="39"/>
    <row r="774" ht="15.75" customHeight="1" s="39"/>
    <row r="775" ht="15.75" customHeight="1" s="39"/>
    <row r="776" ht="15.75" customHeight="1" s="39"/>
    <row r="777" ht="15.75" customHeight="1" s="39"/>
    <row r="778" ht="15.75" customHeight="1" s="39"/>
    <row r="779" ht="15.75" customHeight="1" s="39"/>
    <row r="780" ht="15.75" customHeight="1" s="39"/>
    <row r="781" ht="15.75" customHeight="1" s="39"/>
    <row r="782" ht="15.75" customHeight="1" s="39"/>
    <row r="783" ht="15.75" customHeight="1" s="39"/>
    <row r="784" ht="15.75" customHeight="1" s="39"/>
    <row r="785" ht="15.75" customHeight="1" s="39"/>
    <row r="786" ht="15.75" customHeight="1" s="39"/>
    <row r="787" ht="15.75" customHeight="1" s="39"/>
    <row r="788" ht="15.75" customHeight="1" s="39"/>
    <row r="789" ht="15.75" customHeight="1" s="39"/>
    <row r="790" ht="15.75" customHeight="1" s="39"/>
    <row r="791" ht="15.75" customHeight="1" s="39"/>
    <row r="792" ht="15.75" customHeight="1" s="39"/>
    <row r="793" ht="15.75" customHeight="1" s="39"/>
    <row r="794" ht="15.75" customHeight="1" s="39"/>
    <row r="795" ht="15.75" customHeight="1" s="39"/>
    <row r="796" ht="15.75" customHeight="1" s="39"/>
    <row r="797" ht="15.75" customHeight="1" s="39"/>
    <row r="798" ht="15.75" customHeight="1" s="39"/>
    <row r="799" ht="15.75" customHeight="1" s="39"/>
    <row r="800" ht="15.75" customHeight="1" s="39"/>
    <row r="801" ht="15.75" customHeight="1" s="39"/>
    <row r="802" ht="15.75" customHeight="1" s="39"/>
    <row r="803" ht="15.75" customHeight="1" s="39"/>
    <row r="804" ht="15.75" customHeight="1" s="39"/>
    <row r="805" ht="15.75" customHeight="1" s="39"/>
    <row r="806" ht="15.75" customHeight="1" s="39"/>
    <row r="807" ht="15.75" customHeight="1" s="39"/>
    <row r="808" ht="15.75" customHeight="1" s="39"/>
    <row r="809" ht="15.75" customHeight="1" s="39"/>
    <row r="810" ht="15.75" customHeight="1" s="39"/>
    <row r="811" ht="15.75" customHeight="1" s="39"/>
    <row r="812" ht="15.75" customHeight="1" s="39"/>
    <row r="813" ht="15.75" customHeight="1" s="39"/>
    <row r="814" ht="15.75" customHeight="1" s="39"/>
    <row r="815" ht="15.75" customHeight="1" s="39"/>
    <row r="816" ht="15.75" customHeight="1" s="39"/>
    <row r="817" ht="15.75" customHeight="1" s="39"/>
    <row r="818" ht="15.75" customHeight="1" s="39"/>
    <row r="819" ht="15.75" customHeight="1" s="39"/>
    <row r="820" ht="15.75" customHeight="1" s="39"/>
    <row r="821" ht="15.75" customHeight="1" s="39"/>
    <row r="822" ht="15.75" customHeight="1" s="39"/>
    <row r="823" ht="15.75" customHeight="1" s="39"/>
    <row r="824" ht="15.75" customHeight="1" s="39"/>
    <row r="825" ht="15.75" customHeight="1" s="39"/>
    <row r="826" ht="15.75" customHeight="1" s="39"/>
    <row r="827" ht="15.75" customHeight="1" s="39"/>
    <row r="828" ht="15.75" customHeight="1" s="39"/>
    <row r="829" ht="15.75" customHeight="1" s="39"/>
    <row r="830" ht="15.75" customHeight="1" s="39"/>
    <row r="831" ht="15.75" customHeight="1" s="39"/>
    <row r="832" ht="15.75" customHeight="1" s="39"/>
    <row r="833" ht="15.75" customHeight="1" s="39"/>
    <row r="834" ht="15.75" customHeight="1" s="39"/>
    <row r="835" ht="15.75" customHeight="1" s="39"/>
    <row r="836" ht="15.75" customHeight="1" s="39"/>
    <row r="837" ht="15.75" customHeight="1" s="39"/>
    <row r="838" ht="15.75" customHeight="1" s="39"/>
    <row r="839" ht="15.75" customHeight="1" s="39"/>
    <row r="840" ht="15.75" customHeight="1" s="39"/>
    <row r="841" ht="15.75" customHeight="1" s="39"/>
    <row r="842" ht="15.75" customHeight="1" s="39"/>
    <row r="843" ht="15.75" customHeight="1" s="39"/>
    <row r="844" ht="15.75" customHeight="1" s="39"/>
    <row r="845" ht="15.75" customHeight="1" s="39"/>
    <row r="846" ht="15.75" customHeight="1" s="39"/>
    <row r="847" ht="15.75" customHeight="1" s="39"/>
    <row r="848" ht="15.75" customHeight="1" s="39"/>
    <row r="849" ht="15.75" customHeight="1" s="39"/>
    <row r="850" ht="15.75" customHeight="1" s="39"/>
    <row r="851" ht="15.75" customHeight="1" s="39"/>
    <row r="852" ht="15.75" customHeight="1" s="39"/>
    <row r="853" ht="15.75" customHeight="1" s="39"/>
    <row r="854" ht="15.75" customHeight="1" s="39"/>
    <row r="855" ht="15.75" customHeight="1" s="39"/>
    <row r="856" ht="15.75" customHeight="1" s="39"/>
    <row r="857" ht="15.75" customHeight="1" s="39"/>
    <row r="858" ht="15.75" customHeight="1" s="39"/>
    <row r="859" ht="15.75" customHeight="1" s="39"/>
    <row r="860" ht="15.75" customHeight="1" s="39"/>
    <row r="861" ht="15.75" customHeight="1" s="39"/>
    <row r="862" ht="15.75" customHeight="1" s="39"/>
    <row r="863" ht="15.75" customHeight="1" s="39"/>
    <row r="864" ht="15.75" customHeight="1" s="39"/>
    <row r="865" ht="15.75" customHeight="1" s="39"/>
    <row r="866" ht="15.75" customHeight="1" s="39"/>
    <row r="867" ht="15.75" customHeight="1" s="39"/>
    <row r="868" ht="15.75" customHeight="1" s="39"/>
    <row r="869" ht="15.75" customHeight="1" s="39"/>
    <row r="870" ht="15.75" customHeight="1" s="39"/>
    <row r="871" ht="15.75" customHeight="1" s="39"/>
    <row r="872" ht="15.75" customHeight="1" s="39"/>
    <row r="873" ht="15.75" customHeight="1" s="39"/>
    <row r="874" ht="15.75" customHeight="1" s="39"/>
    <row r="875" ht="15.75" customHeight="1" s="39"/>
    <row r="876" ht="15.75" customHeight="1" s="39"/>
    <row r="877" ht="15.75" customHeight="1" s="39"/>
    <row r="878" ht="15.75" customHeight="1" s="39"/>
    <row r="879" ht="15.75" customHeight="1" s="39"/>
    <row r="880" ht="15.75" customHeight="1" s="39"/>
    <row r="881" ht="15.75" customHeight="1" s="39"/>
    <row r="882" ht="15.75" customHeight="1" s="39"/>
    <row r="883" ht="15.75" customHeight="1" s="39"/>
    <row r="884" ht="15.75" customHeight="1" s="39"/>
    <row r="885" ht="15.75" customHeight="1" s="39"/>
    <row r="886" ht="15.75" customHeight="1" s="39"/>
    <row r="887" ht="15.75" customHeight="1" s="39"/>
    <row r="888" ht="15.75" customHeight="1" s="39"/>
    <row r="889" ht="15.75" customHeight="1" s="39"/>
    <row r="890" ht="15.75" customHeight="1" s="39"/>
    <row r="891" ht="15.75" customHeight="1" s="39"/>
    <row r="892" ht="15.75" customHeight="1" s="39"/>
    <row r="893" ht="15.75" customHeight="1" s="39"/>
    <row r="894" ht="15.75" customHeight="1" s="39"/>
    <row r="895" ht="15.75" customHeight="1" s="39"/>
    <row r="896" ht="15.75" customHeight="1" s="39"/>
    <row r="897" ht="15.75" customHeight="1" s="39"/>
    <row r="898" ht="15.75" customHeight="1" s="39"/>
    <row r="899" ht="15.75" customHeight="1" s="39"/>
    <row r="900" ht="15.75" customHeight="1" s="39"/>
    <row r="901" ht="15.75" customHeight="1" s="39"/>
    <row r="902" ht="15.75" customHeight="1" s="39"/>
    <row r="903" ht="15.75" customHeight="1" s="39"/>
    <row r="904" ht="15.75" customHeight="1" s="39"/>
    <row r="905" ht="15.75" customHeight="1" s="39"/>
    <row r="906" ht="15.75" customHeight="1" s="39"/>
    <row r="907" ht="15.75" customHeight="1" s="39"/>
    <row r="908" ht="15.75" customHeight="1" s="39"/>
    <row r="909" ht="15.75" customHeight="1" s="39"/>
    <row r="910" ht="15.75" customHeight="1" s="39"/>
    <row r="911" ht="15.75" customHeight="1" s="39"/>
    <row r="912" ht="15.75" customHeight="1" s="39"/>
    <row r="913" ht="15.75" customHeight="1" s="39"/>
    <row r="914" ht="15.75" customHeight="1" s="39"/>
    <row r="915" ht="15.75" customHeight="1" s="39"/>
    <row r="916" ht="15.75" customHeight="1" s="39"/>
    <row r="917" ht="15.75" customHeight="1" s="39"/>
    <row r="918" ht="15.75" customHeight="1" s="39"/>
    <row r="919" ht="15.75" customHeight="1" s="39"/>
    <row r="920" ht="15.75" customHeight="1" s="39"/>
    <row r="921" ht="15.75" customHeight="1" s="39"/>
    <row r="922" ht="15.75" customHeight="1" s="39"/>
    <row r="923" ht="15.75" customHeight="1" s="39"/>
    <row r="924" ht="15.75" customHeight="1" s="39"/>
    <row r="925" ht="15.75" customHeight="1" s="39"/>
    <row r="926" ht="15.75" customHeight="1" s="39"/>
    <row r="927" ht="15.75" customHeight="1" s="39"/>
    <row r="928" ht="15.75" customHeight="1" s="39"/>
    <row r="929" ht="15.75" customHeight="1" s="39"/>
    <row r="930" ht="15.75" customHeight="1" s="39"/>
    <row r="931" ht="15.75" customHeight="1" s="39"/>
    <row r="932" ht="15.75" customHeight="1" s="39"/>
    <row r="933" ht="15.75" customHeight="1" s="39"/>
    <row r="934" ht="15.75" customHeight="1" s="39"/>
    <row r="935" ht="15.75" customHeight="1" s="39"/>
    <row r="936" ht="15.75" customHeight="1" s="39"/>
    <row r="937" ht="15.75" customHeight="1" s="39"/>
    <row r="938" ht="15.75" customHeight="1" s="39"/>
    <row r="939" ht="15.75" customHeight="1" s="39"/>
    <row r="940" ht="15.75" customHeight="1" s="39"/>
    <row r="941" ht="15.75" customHeight="1" s="39"/>
    <row r="942" ht="15.75" customHeight="1" s="39"/>
    <row r="943" ht="15.75" customHeight="1" s="39"/>
    <row r="944" ht="15.75" customHeight="1" s="39"/>
    <row r="945" ht="15.75" customHeight="1" s="39"/>
    <row r="946" ht="15.75" customHeight="1" s="39"/>
    <row r="947" ht="15.75" customHeight="1" s="39"/>
    <row r="948" ht="15.75" customHeight="1" s="39"/>
    <row r="949" ht="15.75" customHeight="1" s="39"/>
    <row r="950" ht="15.75" customHeight="1" s="39"/>
    <row r="951" ht="15.75" customHeight="1" s="39"/>
    <row r="952" ht="15.75" customHeight="1" s="39"/>
    <row r="953" ht="15.75" customHeight="1" s="39"/>
    <row r="954" ht="15.75" customHeight="1" s="39"/>
    <row r="955" ht="15.75" customHeight="1" s="39"/>
    <row r="956" ht="15.75" customHeight="1" s="39"/>
    <row r="957" ht="15.75" customHeight="1" s="39"/>
    <row r="958" ht="15.75" customHeight="1" s="39"/>
    <row r="959" ht="15.75" customHeight="1" s="39"/>
    <row r="960" ht="15.75" customHeight="1" s="39"/>
    <row r="961" ht="15.75" customHeight="1" s="39"/>
    <row r="962" ht="15.75" customHeight="1" s="39"/>
    <row r="963" ht="15.75" customHeight="1" s="39"/>
    <row r="964" ht="15.75" customHeight="1" s="39"/>
    <row r="965" ht="15.75" customHeight="1" s="39"/>
    <row r="966" ht="15.75" customHeight="1" s="39"/>
    <row r="967" ht="15.75" customHeight="1" s="39"/>
    <row r="968" ht="15.75" customHeight="1" s="39"/>
    <row r="969" ht="15.75" customHeight="1" s="39"/>
    <row r="970" ht="15.75" customHeight="1" s="39"/>
    <row r="971" ht="15.75" customHeight="1" s="39"/>
    <row r="972" ht="15.75" customHeight="1" s="39"/>
    <row r="973" ht="15.75" customHeight="1" s="39"/>
    <row r="974" ht="15.75" customHeight="1" s="39"/>
    <row r="975" ht="15.75" customHeight="1" s="39"/>
    <row r="976" ht="15.75" customHeight="1" s="39"/>
    <row r="977" ht="15.75" customHeight="1" s="39"/>
    <row r="978" ht="15.75" customHeight="1" s="39"/>
    <row r="979" ht="15.75" customHeight="1" s="39"/>
    <row r="980" ht="15.75" customHeight="1" s="39"/>
    <row r="981" ht="15.75" customHeight="1" s="39"/>
    <row r="982" ht="15.75" customHeight="1" s="39"/>
    <row r="983" ht="15.75" customHeight="1" s="39"/>
    <row r="984" ht="15.75" customHeight="1" s="39"/>
    <row r="985" ht="15.75" customHeight="1" s="39"/>
    <row r="986" ht="15.75" customHeight="1" s="39"/>
    <row r="987" ht="15.75" customHeight="1" s="39"/>
    <row r="988" ht="15.75" customHeight="1" s="39"/>
    <row r="989" ht="15.75" customHeight="1" s="39"/>
    <row r="990" ht="15.75" customHeight="1" s="39"/>
    <row r="991" ht="15.75" customHeight="1" s="39"/>
    <row r="992" ht="15.75" customHeight="1" s="39"/>
    <row r="993" ht="15.75" customHeight="1" s="39"/>
    <row r="994" ht="15.75" customHeight="1" s="39"/>
    <row r="995" ht="15.75" customHeight="1" s="39"/>
    <row r="996" ht="15.75" customHeight="1" s="39"/>
    <row r="997" ht="15.75" customHeight="1" s="39"/>
    <row r="998" ht="15.75" customHeight="1" s="39"/>
    <row r="999" ht="15.75" customHeight="1" s="39"/>
    <row r="1000" ht="15.75" customHeight="1" s="39"/>
  </sheetData>
  <mergeCells count="2">
    <mergeCell ref="A2:F2"/>
    <mergeCell ref="A1:F1"/>
  </mergeCells>
  <pageMargins left="0.75" right="0.75" top="1" bottom="1" header="0" footer="0"/>
  <pageSetup orientation="landscape"/>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G190"/>
  <sheetViews>
    <sheetView workbookViewId="0">
      <pane ySplit="4" topLeftCell="A5" activePane="bottomLeft" state="frozen"/>
      <selection pane="bottomLeft" activeCell="B6" sqref="B6"/>
    </sheetView>
  </sheetViews>
  <sheetFormatPr baseColWidth="8" defaultColWidth="14.43" defaultRowHeight="15" customHeight="1"/>
  <cols>
    <col width="14" customWidth="1" style="39" min="1" max="1"/>
    <col width="74.29000000000001" customWidth="1" style="39" min="2" max="2"/>
    <col width="14" customWidth="1" style="39" min="3" max="6"/>
    <col width="22" customWidth="1" style="39" min="7" max="7"/>
    <col width="8.710000000000001" customWidth="1" style="39" min="8" max="26"/>
  </cols>
  <sheetData>
    <row r="1">
      <c r="A1" s="16" t="inlineStr">
        <is>
          <t>Imports — Checking</t>
        </is>
      </c>
    </row>
    <row r="2">
      <c r="A2" s="4" t="inlineStr">
        <is>
          <t>Paste Capital One Checking CSV here (full YTD recommended). Run: 📊 Family Finances → Categorize &amp; Roll Up.</t>
        </is>
      </c>
    </row>
    <row r="4">
      <c r="A4" s="5" t="inlineStr">
        <is>
          <t>Account Number</t>
        </is>
      </c>
      <c r="B4" s="5" t="inlineStr">
        <is>
          <t>Transaction Description</t>
        </is>
      </c>
      <c r="C4" s="5" t="inlineStr">
        <is>
          <t>Transaction Date</t>
        </is>
      </c>
      <c r="D4" s="5" t="inlineStr">
        <is>
          <t>Transaction Type</t>
        </is>
      </c>
      <c r="E4" s="5" t="inlineStr">
        <is>
          <t>Transaction Amount</t>
        </is>
      </c>
      <c r="F4" s="5" t="inlineStr">
        <is>
          <t>Balance</t>
        </is>
      </c>
      <c r="G4" s="5" t="inlineStr">
        <is>
          <t>→ Category (auto)</t>
        </is>
      </c>
    </row>
    <row r="5">
      <c r="A5" s="32" t="n"/>
      <c r="B5" s="33" t="n"/>
      <c r="C5" s="34" t="n"/>
      <c r="D5" s="33" t="n"/>
      <c r="E5" s="32" t="n"/>
      <c r="F5" s="32" t="n"/>
      <c r="G5" s="10" t="n"/>
    </row>
    <row r="6">
      <c r="A6" s="32" t="n"/>
      <c r="B6" s="33" t="n"/>
      <c r="C6" s="34" t="n"/>
      <c r="D6" s="33" t="n"/>
      <c r="E6" s="32" t="n"/>
      <c r="F6" s="32" t="n"/>
      <c r="G6" s="10" t="n"/>
    </row>
    <row r="7">
      <c r="A7" s="32" t="n"/>
      <c r="B7" s="33" t="n"/>
      <c r="C7" s="34" t="n"/>
      <c r="D7" s="33" t="n"/>
      <c r="E7" s="32" t="n"/>
      <c r="F7" s="32" t="n"/>
      <c r="G7" s="10" t="n"/>
    </row>
    <row r="8">
      <c r="A8" s="32" t="n"/>
      <c r="B8" s="33" t="n"/>
      <c r="C8" s="34" t="n"/>
      <c r="D8" s="33" t="n"/>
      <c r="E8" s="32" t="n"/>
      <c r="F8" s="32" t="n"/>
      <c r="G8" s="10" t="n"/>
    </row>
    <row r="9">
      <c r="A9" s="32" t="n"/>
      <c r="B9" s="33" t="n"/>
      <c r="C9" s="34" t="n"/>
      <c r="D9" s="33" t="n"/>
      <c r="E9" s="32" t="n"/>
      <c r="F9" s="32" t="n"/>
      <c r="G9" s="10" t="n"/>
    </row>
    <row r="10">
      <c r="A10" s="32" t="n"/>
      <c r="B10" s="33" t="n"/>
      <c r="C10" s="34" t="n"/>
      <c r="D10" s="33" t="n"/>
      <c r="E10" s="32" t="n"/>
      <c r="F10" s="32" t="n"/>
      <c r="G10" s="10" t="n"/>
    </row>
    <row r="11">
      <c r="A11" s="32" t="n"/>
      <c r="B11" s="33" t="n"/>
      <c r="C11" s="34" t="n"/>
      <c r="D11" s="33" t="n"/>
      <c r="E11" s="32" t="n"/>
      <c r="F11" s="32" t="n"/>
      <c r="G11" s="10" t="n"/>
    </row>
    <row r="12">
      <c r="A12" s="32" t="n"/>
      <c r="B12" s="33" t="n"/>
      <c r="C12" s="34" t="n"/>
      <c r="D12" s="33" t="n"/>
      <c r="E12" s="32" t="n"/>
      <c r="F12" s="32" t="n"/>
      <c r="G12" s="10" t="n"/>
    </row>
    <row r="13">
      <c r="A13" s="32" t="n"/>
      <c r="B13" s="33" t="n"/>
      <c r="C13" s="34" t="n"/>
      <c r="D13" s="33" t="n"/>
      <c r="E13" s="32" t="n"/>
      <c r="F13" s="32" t="n"/>
      <c r="G13" s="10" t="n"/>
    </row>
    <row r="14">
      <c r="A14" s="32" t="n"/>
      <c r="B14" s="33" t="n"/>
      <c r="C14" s="34" t="n"/>
      <c r="D14" s="33" t="n"/>
      <c r="E14" s="32" t="n"/>
      <c r="F14" s="32" t="n"/>
      <c r="G14" s="10" t="n"/>
    </row>
    <row r="15">
      <c r="A15" s="32" t="n"/>
      <c r="B15" s="33" t="n"/>
      <c r="C15" s="34" t="n"/>
      <c r="D15" s="33" t="n"/>
      <c r="E15" s="32" t="n"/>
      <c r="F15" s="32" t="n"/>
      <c r="G15" s="10" t="n"/>
    </row>
    <row r="16">
      <c r="A16" s="32" t="n"/>
      <c r="B16" s="33" t="n"/>
      <c r="C16" s="34" t="n"/>
      <c r="D16" s="33" t="n"/>
      <c r="E16" s="32" t="n"/>
      <c r="F16" s="32" t="n"/>
      <c r="G16" s="10" t="n"/>
    </row>
    <row r="17">
      <c r="A17" s="32" t="n"/>
      <c r="B17" s="33" t="n"/>
      <c r="C17" s="34" t="n"/>
      <c r="D17" s="33" t="n"/>
      <c r="E17" s="32" t="n"/>
      <c r="F17" s="32" t="n"/>
      <c r="G17" s="10" t="n"/>
    </row>
    <row r="18">
      <c r="A18" s="32" t="n"/>
      <c r="B18" s="33" t="n"/>
      <c r="C18" s="34" t="n"/>
      <c r="D18" s="33" t="n"/>
      <c r="E18" s="32" t="n"/>
      <c r="F18" s="32" t="n"/>
      <c r="G18" s="10" t="n"/>
    </row>
    <row r="19">
      <c r="A19" s="32" t="n"/>
      <c r="B19" s="33" t="n"/>
      <c r="C19" s="34" t="n"/>
      <c r="D19" s="33" t="n"/>
      <c r="E19" s="32" t="n"/>
      <c r="F19" s="32" t="n"/>
      <c r="G19" s="10" t="n"/>
    </row>
    <row r="20">
      <c r="A20" s="32" t="n"/>
      <c r="B20" s="33" t="n"/>
      <c r="C20" s="34" t="n"/>
      <c r="D20" s="33" t="n"/>
      <c r="E20" s="32" t="n"/>
      <c r="F20" s="32" t="n"/>
      <c r="G20" s="10" t="n"/>
    </row>
    <row r="21" ht="15.75" customHeight="1" s="39">
      <c r="A21" s="32" t="n"/>
      <c r="B21" s="33" t="n"/>
      <c r="C21" s="34" t="n"/>
      <c r="D21" s="33" t="n"/>
      <c r="E21" s="32" t="n"/>
      <c r="F21" s="32" t="n"/>
      <c r="G21" s="10" t="n"/>
    </row>
    <row r="22" ht="15.75" customHeight="1" s="39">
      <c r="A22" s="32" t="n"/>
      <c r="B22" s="33" t="n"/>
      <c r="C22" s="34" t="n"/>
      <c r="D22" s="33" t="n"/>
      <c r="E22" s="32" t="n"/>
      <c r="F22" s="32" t="n"/>
      <c r="G22" s="10" t="n"/>
    </row>
    <row r="23" ht="15.75" customHeight="1" s="39">
      <c r="A23" s="32" t="n"/>
      <c r="B23" s="33" t="n"/>
      <c r="C23" s="34" t="n"/>
      <c r="D23" s="33" t="n"/>
      <c r="E23" s="32" t="n"/>
      <c r="F23" s="32" t="n"/>
      <c r="G23" s="10" t="n"/>
    </row>
    <row r="24" ht="15.75" customHeight="1" s="39">
      <c r="A24" s="32" t="n"/>
      <c r="B24" s="33" t="n"/>
      <c r="C24" s="34" t="n"/>
      <c r="D24" s="33" t="n"/>
      <c r="E24" s="32" t="n"/>
      <c r="F24" s="32" t="n"/>
      <c r="G24" s="10" t="n"/>
    </row>
    <row r="25" ht="15.75" customHeight="1" s="39">
      <c r="A25" s="32" t="n"/>
      <c r="B25" s="33" t="n"/>
      <c r="C25" s="34" t="n"/>
      <c r="D25" s="33" t="n"/>
      <c r="E25" s="32" t="n"/>
      <c r="F25" s="32" t="n"/>
      <c r="G25" s="10" t="n"/>
    </row>
    <row r="26" ht="15.75" customHeight="1" s="39">
      <c r="A26" s="32" t="n"/>
      <c r="B26" s="33" t="n"/>
      <c r="C26" s="34" t="n"/>
      <c r="D26" s="33" t="n"/>
      <c r="E26" s="32" t="n"/>
      <c r="F26" s="32" t="n"/>
      <c r="G26" s="10" t="n"/>
    </row>
    <row r="27" ht="15.75" customHeight="1" s="39">
      <c r="A27" s="32" t="n"/>
      <c r="B27" s="33" t="n"/>
      <c r="C27" s="34" t="n"/>
      <c r="D27" s="33" t="n"/>
      <c r="E27" s="32" t="n"/>
      <c r="F27" s="32" t="n"/>
      <c r="G27" s="10" t="n"/>
    </row>
    <row r="28" ht="15.75" customHeight="1" s="39">
      <c r="A28" s="32" t="n"/>
      <c r="B28" s="33" t="n"/>
      <c r="C28" s="34" t="n"/>
      <c r="D28" s="33" t="n"/>
      <c r="E28" s="32" t="n"/>
      <c r="F28" s="32" t="n"/>
      <c r="G28" s="10" t="n"/>
    </row>
    <row r="29" ht="15.75" customHeight="1" s="39">
      <c r="A29" s="32" t="n"/>
      <c r="B29" s="33" t="n"/>
      <c r="C29" s="34" t="n"/>
      <c r="D29" s="33" t="n"/>
      <c r="E29" s="32" t="n"/>
      <c r="F29" s="32" t="n"/>
      <c r="G29" s="10" t="n"/>
    </row>
    <row r="30" ht="15.75" customHeight="1" s="39">
      <c r="A30" s="32" t="n"/>
      <c r="B30" s="33" t="n"/>
      <c r="C30" s="34" t="n"/>
      <c r="D30" s="33" t="n"/>
      <c r="E30" s="32" t="n"/>
      <c r="F30" s="32" t="n"/>
      <c r="G30" s="10" t="n"/>
    </row>
    <row r="31" ht="15.75" customHeight="1" s="39">
      <c r="A31" s="32" t="n"/>
      <c r="B31" s="33" t="n"/>
      <c r="C31" s="34" t="n"/>
      <c r="D31" s="33" t="n"/>
      <c r="E31" s="32" t="n"/>
      <c r="F31" s="32" t="n"/>
      <c r="G31" s="10" t="n"/>
    </row>
    <row r="32" ht="15.75" customHeight="1" s="39">
      <c r="A32" s="32" t="n"/>
      <c r="B32" s="33" t="n"/>
      <c r="C32" s="34" t="n"/>
      <c r="D32" s="33" t="n"/>
      <c r="E32" s="32" t="n"/>
      <c r="F32" s="32" t="n"/>
      <c r="G32" s="10" t="n"/>
    </row>
    <row r="33" ht="15.75" customHeight="1" s="39">
      <c r="A33" s="32" t="n"/>
      <c r="B33" s="33" t="n"/>
      <c r="C33" s="34" t="n"/>
      <c r="D33" s="33" t="n"/>
      <c r="E33" s="32" t="n"/>
      <c r="F33" s="32" t="n"/>
      <c r="G33" s="10" t="n"/>
    </row>
    <row r="34" ht="15.75" customHeight="1" s="39">
      <c r="A34" s="32" t="n"/>
      <c r="B34" s="33" t="n"/>
      <c r="C34" s="34" t="n"/>
      <c r="D34" s="33" t="n"/>
      <c r="E34" s="32" t="n"/>
      <c r="F34" s="32" t="n"/>
      <c r="G34" s="10" t="n"/>
    </row>
    <row r="35" ht="15.75" customHeight="1" s="39">
      <c r="A35" s="32" t="n"/>
      <c r="B35" s="33" t="n"/>
      <c r="C35" s="34" t="n"/>
      <c r="D35" s="33" t="n"/>
      <c r="E35" s="32" t="n"/>
      <c r="F35" s="32" t="n"/>
      <c r="G35" s="10" t="n"/>
    </row>
    <row r="36" ht="15.75" customHeight="1" s="39">
      <c r="A36" s="32" t="n"/>
      <c r="B36" s="33" t="n"/>
      <c r="C36" s="34" t="n"/>
      <c r="D36" s="33" t="n"/>
      <c r="E36" s="32" t="n"/>
      <c r="F36" s="32" t="n"/>
      <c r="G36" s="10" t="n"/>
    </row>
    <row r="37" ht="15.75" customHeight="1" s="39">
      <c r="A37" s="32" t="n"/>
      <c r="B37" s="33" t="n"/>
      <c r="C37" s="34" t="n"/>
      <c r="D37" s="33" t="n"/>
      <c r="E37" s="32" t="n"/>
      <c r="F37" s="32" t="n"/>
      <c r="G37" s="10" t="n"/>
    </row>
    <row r="38" ht="15.75" customHeight="1" s="39">
      <c r="A38" s="32" t="n"/>
      <c r="B38" s="33" t="n"/>
      <c r="C38" s="34" t="n"/>
      <c r="D38" s="33" t="n"/>
      <c r="E38" s="32" t="n"/>
      <c r="F38" s="32" t="n"/>
      <c r="G38" s="10" t="n"/>
    </row>
    <row r="39" ht="15.75" customHeight="1" s="39">
      <c r="A39" s="32" t="n"/>
      <c r="B39" s="33" t="n"/>
      <c r="C39" s="34" t="n"/>
      <c r="D39" s="33" t="n"/>
      <c r="E39" s="32" t="n"/>
      <c r="F39" s="32" t="n"/>
      <c r="G39" s="10" t="n"/>
    </row>
    <row r="40" ht="15.75" customHeight="1" s="39">
      <c r="A40" s="32" t="n"/>
      <c r="B40" s="33" t="n"/>
      <c r="C40" s="34" t="n"/>
      <c r="D40" s="33" t="n"/>
      <c r="E40" s="32" t="n"/>
      <c r="F40" s="32" t="n"/>
      <c r="G40" s="10" t="n"/>
    </row>
    <row r="41" ht="15.75" customHeight="1" s="39">
      <c r="A41" s="32" t="n"/>
      <c r="B41" s="33" t="n"/>
      <c r="C41" s="34" t="n"/>
      <c r="D41" s="33" t="n"/>
      <c r="E41" s="32" t="n"/>
      <c r="F41" s="32" t="n"/>
      <c r="G41" s="10" t="n"/>
    </row>
    <row r="42" ht="15.75" customHeight="1" s="39">
      <c r="A42" s="32" t="n"/>
      <c r="B42" s="33" t="n"/>
      <c r="C42" s="34" t="n"/>
      <c r="D42" s="33" t="n"/>
      <c r="E42" s="32" t="n"/>
      <c r="F42" s="32" t="n"/>
      <c r="G42" s="10" t="n"/>
    </row>
    <row r="43" ht="15.75" customHeight="1" s="39">
      <c r="A43" s="32" t="n"/>
      <c r="B43" s="33" t="n"/>
      <c r="C43" s="34" t="n"/>
      <c r="D43" s="33" t="n"/>
      <c r="E43" s="32" t="n"/>
      <c r="F43" s="32" t="n"/>
      <c r="G43" s="10" t="n"/>
    </row>
    <row r="44" ht="15.75" customHeight="1" s="39">
      <c r="A44" s="32" t="n"/>
      <c r="B44" s="33" t="n"/>
      <c r="C44" s="34" t="n"/>
      <c r="D44" s="33" t="n"/>
      <c r="E44" s="32" t="n"/>
      <c r="F44" s="32" t="n"/>
      <c r="G44" s="10" t="n"/>
    </row>
    <row r="45" ht="15.75" customHeight="1" s="39">
      <c r="A45" s="32" t="n"/>
      <c r="B45" s="33" t="n"/>
      <c r="C45" s="34" t="n"/>
      <c r="D45" s="33" t="n"/>
      <c r="E45" s="32" t="n"/>
      <c r="F45" s="32" t="n"/>
      <c r="G45" s="10" t="n"/>
    </row>
    <row r="46" ht="15.75" customHeight="1" s="39">
      <c r="A46" s="32" t="n"/>
      <c r="B46" s="33" t="n"/>
      <c r="C46" s="34" t="n"/>
      <c r="D46" s="33" t="n"/>
      <c r="E46" s="32" t="n"/>
      <c r="F46" s="32" t="n"/>
      <c r="G46" s="10" t="n"/>
    </row>
    <row r="47" ht="15.75" customHeight="1" s="39">
      <c r="A47" s="32" t="n"/>
      <c r="B47" s="33" t="n"/>
      <c r="C47" s="34" t="n"/>
      <c r="D47" s="33" t="n"/>
      <c r="E47" s="32" t="n"/>
      <c r="F47" s="32" t="n"/>
      <c r="G47" s="10" t="n"/>
    </row>
    <row r="48" ht="15.75" customHeight="1" s="39">
      <c r="A48" s="32" t="n"/>
      <c r="B48" s="33" t="n"/>
      <c r="C48" s="34" t="n"/>
      <c r="D48" s="33" t="n"/>
      <c r="E48" s="32" t="n"/>
      <c r="F48" s="32" t="n"/>
      <c r="G48" s="10" t="n"/>
    </row>
    <row r="49" ht="15.75" customHeight="1" s="39">
      <c r="A49" s="32" t="n"/>
      <c r="B49" s="33" t="n"/>
      <c r="C49" s="34" t="n"/>
      <c r="D49" s="33" t="n"/>
      <c r="E49" s="32" t="n"/>
      <c r="F49" s="32" t="n"/>
      <c r="G49" s="10" t="n"/>
    </row>
    <row r="50" ht="15.75" customHeight="1" s="39">
      <c r="A50" s="32" t="n"/>
      <c r="B50" s="33" t="n"/>
      <c r="C50" s="34" t="n"/>
      <c r="D50" s="33" t="n"/>
      <c r="E50" s="32" t="n"/>
      <c r="F50" s="32" t="n"/>
      <c r="G50" s="10" t="n"/>
    </row>
    <row r="51" ht="15.75" customHeight="1" s="39">
      <c r="A51" s="32" t="n"/>
      <c r="B51" s="33" t="n"/>
      <c r="C51" s="34" t="n"/>
      <c r="D51" s="33" t="n"/>
      <c r="E51" s="32" t="n"/>
      <c r="F51" s="32" t="n"/>
      <c r="G51" s="10" t="n"/>
    </row>
    <row r="52" ht="15.75" customHeight="1" s="39">
      <c r="A52" s="32" t="n"/>
      <c r="B52" s="33" t="n"/>
      <c r="C52" s="34" t="n"/>
      <c r="D52" s="33" t="n"/>
      <c r="E52" s="32" t="n"/>
      <c r="F52" s="32" t="n"/>
      <c r="G52" s="10" t="n"/>
    </row>
    <row r="53" ht="15.75" customHeight="1" s="39">
      <c r="A53" s="32" t="n"/>
      <c r="B53" s="33" t="n"/>
      <c r="C53" s="34" t="n"/>
      <c r="D53" s="33" t="n"/>
      <c r="E53" s="32" t="n"/>
      <c r="F53" s="32" t="n"/>
      <c r="G53" s="10" t="n"/>
    </row>
    <row r="54" ht="15.75" customHeight="1" s="39">
      <c r="A54" s="32" t="n"/>
      <c r="B54" s="33" t="n"/>
      <c r="C54" s="34" t="n"/>
      <c r="D54" s="33" t="n"/>
      <c r="E54" s="32" t="n"/>
      <c r="F54" s="32" t="n"/>
      <c r="G54" s="10" t="n"/>
    </row>
    <row r="55" ht="15.75" customHeight="1" s="39">
      <c r="A55" s="32" t="n"/>
      <c r="B55" s="33" t="n"/>
      <c r="C55" s="34" t="n"/>
      <c r="D55" s="33" t="n"/>
      <c r="E55" s="32" t="n"/>
      <c r="F55" s="32" t="n"/>
      <c r="G55" s="10" t="n"/>
    </row>
    <row r="56" ht="15.75" customHeight="1" s="39">
      <c r="A56" s="32" t="n"/>
      <c r="B56" s="33" t="n"/>
      <c r="C56" s="34" t="n"/>
      <c r="D56" s="33" t="n"/>
      <c r="E56" s="32" t="n"/>
      <c r="F56" s="32" t="n"/>
      <c r="G56" s="10" t="n"/>
    </row>
    <row r="57" ht="15.75" customHeight="1" s="39">
      <c r="A57" s="32" t="n"/>
      <c r="B57" s="33" t="n"/>
      <c r="C57" s="34" t="n"/>
      <c r="D57" s="33" t="n"/>
      <c r="E57" s="32" t="n"/>
      <c r="F57" s="32" t="n"/>
      <c r="G57" s="10" t="n"/>
    </row>
    <row r="58" ht="15.75" customHeight="1" s="39">
      <c r="A58" s="32" t="n"/>
      <c r="B58" s="33" t="n"/>
      <c r="C58" s="34" t="n"/>
      <c r="D58" s="33" t="n"/>
      <c r="E58" s="32" t="n"/>
      <c r="F58" s="32" t="n"/>
      <c r="G58" s="10" t="n"/>
    </row>
    <row r="59" ht="15.75" customHeight="1" s="39">
      <c r="A59" s="32" t="n"/>
      <c r="B59" s="33" t="n"/>
      <c r="C59" s="34" t="n"/>
      <c r="D59" s="33" t="n"/>
      <c r="E59" s="32" t="n"/>
      <c r="F59" s="32" t="n"/>
      <c r="G59" s="10" t="n"/>
    </row>
    <row r="60" ht="15.75" customHeight="1" s="39">
      <c r="A60" s="32" t="n"/>
      <c r="B60" s="33" t="n"/>
      <c r="C60" s="34" t="n"/>
      <c r="D60" s="33" t="n"/>
      <c r="E60" s="32" t="n"/>
      <c r="F60" s="32" t="n"/>
      <c r="G60" s="10" t="n"/>
    </row>
    <row r="61" ht="15.75" customHeight="1" s="39">
      <c r="A61" s="32" t="n"/>
      <c r="B61" s="33" t="n"/>
      <c r="C61" s="34" t="n"/>
      <c r="D61" s="33" t="n"/>
      <c r="E61" s="32" t="n"/>
      <c r="F61" s="32" t="n"/>
      <c r="G61" s="10" t="n"/>
    </row>
    <row r="62" ht="15.75" customHeight="1" s="39">
      <c r="A62" s="32" t="n"/>
      <c r="B62" s="33" t="n"/>
      <c r="C62" s="34" t="n"/>
      <c r="D62" s="33" t="n"/>
      <c r="E62" s="32" t="n"/>
      <c r="F62" s="32" t="n"/>
      <c r="G62" s="10" t="n"/>
    </row>
    <row r="63" ht="15.75" customHeight="1" s="39">
      <c r="A63" s="32" t="n"/>
      <c r="B63" s="33" t="n"/>
      <c r="C63" s="34" t="n"/>
      <c r="D63" s="33" t="n"/>
      <c r="E63" s="32" t="n"/>
      <c r="F63" s="32" t="n"/>
      <c r="G63" s="10" t="n"/>
    </row>
    <row r="64" ht="15.75" customHeight="1" s="39">
      <c r="A64" s="32" t="n"/>
      <c r="B64" s="33" t="n"/>
      <c r="C64" s="34" t="n"/>
      <c r="D64" s="33" t="n"/>
      <c r="E64" s="32" t="n"/>
      <c r="F64" s="32" t="n"/>
      <c r="G64" s="10" t="n"/>
    </row>
    <row r="65" ht="15.75" customHeight="1" s="39">
      <c r="A65" s="32" t="n"/>
      <c r="B65" s="33" t="n"/>
      <c r="C65" s="34" t="n"/>
      <c r="D65" s="33" t="n"/>
      <c r="E65" s="32" t="n"/>
      <c r="F65" s="32" t="n"/>
      <c r="G65" s="10" t="n"/>
    </row>
    <row r="66" ht="15.75" customHeight="1" s="39">
      <c r="A66" s="32" t="n"/>
      <c r="B66" s="33" t="n"/>
      <c r="C66" s="34" t="n"/>
      <c r="D66" s="33" t="n"/>
      <c r="E66" s="32" t="n"/>
      <c r="F66" s="32" t="n"/>
      <c r="G66" s="10" t="n"/>
    </row>
    <row r="67" ht="15.75" customHeight="1" s="39">
      <c r="A67" s="32" t="n"/>
      <c r="B67" s="33" t="n"/>
      <c r="C67" s="34" t="n"/>
      <c r="D67" s="33" t="n"/>
      <c r="E67" s="32" t="n"/>
      <c r="F67" s="32" t="n"/>
      <c r="G67" s="10" t="n"/>
    </row>
    <row r="68" ht="15.75" customHeight="1" s="39">
      <c r="A68" s="32" t="n"/>
      <c r="B68" s="33" t="n"/>
      <c r="C68" s="34" t="n"/>
      <c r="D68" s="33" t="n"/>
      <c r="E68" s="32" t="n"/>
      <c r="F68" s="32" t="n"/>
      <c r="G68" s="10" t="n"/>
    </row>
    <row r="69" ht="15.75" customHeight="1" s="39">
      <c r="A69" s="32" t="n"/>
      <c r="B69" s="33" t="n"/>
      <c r="C69" s="34" t="n"/>
      <c r="D69" s="33" t="n"/>
      <c r="E69" s="32" t="n"/>
      <c r="F69" s="32" t="n"/>
      <c r="G69" s="10" t="n"/>
    </row>
    <row r="70" ht="15.75" customHeight="1" s="39">
      <c r="A70" s="32" t="n"/>
      <c r="B70" s="33" t="n"/>
      <c r="C70" s="34" t="n"/>
      <c r="D70" s="33" t="n"/>
      <c r="E70" s="32" t="n"/>
      <c r="F70" s="32" t="n"/>
      <c r="G70" s="10" t="n"/>
    </row>
    <row r="71" ht="15.75" customHeight="1" s="39">
      <c r="A71" s="32" t="n"/>
      <c r="B71" s="33" t="n"/>
      <c r="C71" s="34" t="n"/>
      <c r="D71" s="33" t="n"/>
      <c r="E71" s="32" t="n"/>
      <c r="F71" s="32" t="n"/>
      <c r="G71" s="10" t="n"/>
    </row>
    <row r="72" ht="15.75" customHeight="1" s="39">
      <c r="A72" s="32" t="n"/>
      <c r="B72" s="33" t="n"/>
      <c r="C72" s="34" t="n"/>
      <c r="D72" s="33" t="n"/>
      <c r="E72" s="32" t="n"/>
      <c r="F72" s="32" t="n"/>
      <c r="G72" s="10" t="n"/>
    </row>
    <row r="73" ht="15.75" customHeight="1" s="39">
      <c r="A73" s="32" t="n"/>
      <c r="B73" s="33" t="n"/>
      <c r="C73" s="34" t="n"/>
      <c r="D73" s="33" t="n"/>
      <c r="E73" s="32" t="n"/>
      <c r="F73" s="32" t="n"/>
      <c r="G73" s="10" t="n"/>
    </row>
    <row r="74" ht="15.75" customHeight="1" s="39">
      <c r="A74" s="32" t="n"/>
      <c r="B74" s="33" t="n"/>
      <c r="C74" s="34" t="n"/>
      <c r="D74" s="33" t="n"/>
      <c r="E74" s="32" t="n"/>
      <c r="F74" s="32" t="n"/>
      <c r="G74" s="10" t="n"/>
    </row>
    <row r="75" ht="15.75" customHeight="1" s="39">
      <c r="A75" s="32" t="n"/>
      <c r="B75" s="33" t="n"/>
      <c r="C75" s="34" t="n"/>
      <c r="D75" s="33" t="n"/>
      <c r="E75" s="32" t="n"/>
      <c r="F75" s="32" t="n"/>
      <c r="G75" s="10" t="n"/>
    </row>
    <row r="76" ht="15.75" customHeight="1" s="39">
      <c r="A76" s="32" t="n"/>
      <c r="B76" s="33" t="n"/>
      <c r="C76" s="34" t="n"/>
      <c r="D76" s="33" t="n"/>
      <c r="E76" s="32" t="n"/>
      <c r="F76" s="32" t="n"/>
      <c r="G76" s="10" t="n"/>
    </row>
    <row r="77" ht="15.75" customHeight="1" s="39">
      <c r="A77" s="32" t="n"/>
      <c r="B77" s="33" t="n"/>
      <c r="C77" s="34" t="n"/>
      <c r="D77" s="33" t="n"/>
      <c r="E77" s="32" t="n"/>
      <c r="F77" s="32" t="n"/>
      <c r="G77" s="10" t="n"/>
    </row>
    <row r="78" ht="15.75" customHeight="1" s="39">
      <c r="A78" s="32" t="n"/>
      <c r="B78" s="33" t="n"/>
      <c r="C78" s="34" t="n"/>
      <c r="D78" s="33" t="n"/>
      <c r="E78" s="32" t="n"/>
      <c r="F78" s="32" t="n"/>
      <c r="G78" s="10" t="n"/>
    </row>
    <row r="79" ht="15.75" customHeight="1" s="39">
      <c r="A79" s="32" t="n"/>
      <c r="B79" s="33" t="n"/>
      <c r="C79" s="34" t="n"/>
      <c r="D79" s="33" t="n"/>
      <c r="E79" s="32" t="n"/>
      <c r="F79" s="32" t="n"/>
      <c r="G79" s="10" t="n"/>
    </row>
    <row r="80" ht="15.75" customHeight="1" s="39">
      <c r="A80" s="32" t="n"/>
      <c r="B80" s="33" t="n"/>
      <c r="C80" s="34" t="n"/>
      <c r="D80" s="33" t="n"/>
      <c r="E80" s="32" t="n"/>
      <c r="F80" s="32" t="n"/>
      <c r="G80" s="10" t="n"/>
    </row>
    <row r="81" ht="15.75" customHeight="1" s="39">
      <c r="A81" s="32" t="n"/>
      <c r="B81" s="33" t="n"/>
      <c r="C81" s="34" t="n"/>
      <c r="D81" s="33" t="n"/>
      <c r="E81" s="32" t="n"/>
      <c r="F81" s="32" t="n"/>
      <c r="G81" s="10" t="n"/>
    </row>
    <row r="82" ht="15.75" customHeight="1" s="39">
      <c r="A82" s="32" t="n"/>
      <c r="B82" s="33" t="n"/>
      <c r="C82" s="34" t="n"/>
      <c r="D82" s="33" t="n"/>
      <c r="E82" s="32" t="n"/>
      <c r="F82" s="32" t="n"/>
      <c r="G82" s="10" t="n"/>
    </row>
    <row r="83" ht="15.75" customHeight="1" s="39">
      <c r="A83" s="32" t="n"/>
      <c r="B83" s="33" t="n"/>
      <c r="C83" s="34" t="n"/>
      <c r="D83" s="33" t="n"/>
      <c r="E83" s="32" t="n"/>
      <c r="F83" s="32" t="n"/>
      <c r="G83" s="10" t="n"/>
    </row>
    <row r="84" ht="15.75" customHeight="1" s="39">
      <c r="A84" s="32" t="n"/>
      <c r="B84" s="33" t="n"/>
      <c r="C84" s="34" t="n"/>
      <c r="D84" s="33" t="n"/>
      <c r="E84" s="32" t="n"/>
      <c r="F84" s="32" t="n"/>
      <c r="G84" s="10" t="n"/>
    </row>
    <row r="85" ht="15.75" customHeight="1" s="39">
      <c r="A85" s="32" t="n"/>
      <c r="B85" s="33" t="n"/>
      <c r="C85" s="34" t="n"/>
      <c r="D85" s="33" t="n"/>
      <c r="E85" s="32" t="n"/>
      <c r="F85" s="32" t="n"/>
      <c r="G85" s="10" t="n"/>
    </row>
    <row r="86" ht="15.75" customHeight="1" s="39">
      <c r="A86" s="32" t="n"/>
      <c r="B86" s="33" t="n"/>
      <c r="C86" s="34" t="n"/>
      <c r="D86" s="33" t="n"/>
      <c r="E86" s="32" t="n"/>
      <c r="F86" s="32" t="n"/>
      <c r="G86" s="10" t="n"/>
    </row>
    <row r="87" ht="15.75" customHeight="1" s="39">
      <c r="A87" s="32" t="n"/>
      <c r="B87" s="33" t="n"/>
      <c r="C87" s="34" t="n"/>
      <c r="D87" s="33" t="n"/>
      <c r="E87" s="32" t="n"/>
      <c r="F87" s="32" t="n"/>
      <c r="G87" s="10" t="n"/>
    </row>
    <row r="88" ht="15.75" customHeight="1" s="39">
      <c r="A88" s="32" t="n"/>
      <c r="B88" s="33" t="n"/>
      <c r="C88" s="34" t="n"/>
      <c r="D88" s="33" t="n"/>
      <c r="E88" s="32" t="n"/>
      <c r="F88" s="32" t="n"/>
      <c r="G88" s="10" t="n"/>
    </row>
    <row r="89" ht="15.75" customHeight="1" s="39">
      <c r="A89" s="32" t="n"/>
      <c r="B89" s="33" t="n"/>
      <c r="C89" s="34" t="n"/>
      <c r="D89" s="33" t="n"/>
      <c r="E89" s="32" t="n"/>
      <c r="F89" s="32" t="n"/>
      <c r="G89" s="10" t="n"/>
    </row>
    <row r="90" ht="15.75" customHeight="1" s="39">
      <c r="A90" s="32" t="n"/>
      <c r="B90" s="33" t="n"/>
      <c r="C90" s="34" t="n"/>
      <c r="D90" s="33" t="n"/>
      <c r="E90" s="32" t="n"/>
      <c r="F90" s="32" t="n"/>
      <c r="G90" s="10" t="n"/>
    </row>
    <row r="91" ht="15.75" customHeight="1" s="39">
      <c r="A91" s="32" t="n"/>
      <c r="B91" s="33" t="n"/>
      <c r="C91" s="34" t="n"/>
      <c r="D91" s="33" t="n"/>
      <c r="E91" s="32" t="n"/>
      <c r="F91" s="32" t="n"/>
      <c r="G91" s="10" t="n"/>
    </row>
    <row r="92" ht="15.75" customHeight="1" s="39">
      <c r="A92" s="32" t="n"/>
      <c r="B92" s="33" t="n"/>
      <c r="C92" s="34" t="n"/>
      <c r="D92" s="33" t="n"/>
      <c r="E92" s="32" t="n"/>
      <c r="F92" s="32" t="n"/>
      <c r="G92" s="10" t="n"/>
    </row>
    <row r="93" ht="15.75" customHeight="1" s="39">
      <c r="A93" s="32" t="n"/>
      <c r="B93" s="33" t="n"/>
      <c r="C93" s="34" t="n"/>
      <c r="D93" s="33" t="n"/>
      <c r="E93" s="32" t="n"/>
      <c r="F93" s="32" t="n"/>
      <c r="G93" s="10" t="n"/>
    </row>
    <row r="94" ht="15.75" customHeight="1" s="39">
      <c r="A94" s="32" t="n"/>
      <c r="B94" s="33" t="n"/>
      <c r="C94" s="34" t="n"/>
      <c r="D94" s="33" t="n"/>
      <c r="E94" s="32" t="n"/>
      <c r="F94" s="32" t="n"/>
      <c r="G94" s="10" t="n"/>
    </row>
    <row r="95" ht="15.75" customHeight="1" s="39">
      <c r="A95" s="32" t="n"/>
      <c r="B95" s="33" t="n"/>
      <c r="C95" s="34" t="n"/>
      <c r="D95" s="33" t="n"/>
      <c r="E95" s="32" t="n"/>
      <c r="F95" s="32" t="n"/>
      <c r="G95" s="10" t="n"/>
    </row>
    <row r="96" ht="15.75" customHeight="1" s="39">
      <c r="A96" s="32" t="n"/>
      <c r="B96" s="33" t="n"/>
      <c r="C96" s="34" t="n"/>
      <c r="D96" s="33" t="n"/>
      <c r="E96" s="32" t="n"/>
      <c r="F96" s="32" t="n"/>
      <c r="G96" s="10" t="n"/>
    </row>
    <row r="97" ht="15.75" customHeight="1" s="39">
      <c r="A97" s="32" t="n"/>
      <c r="B97" s="33" t="n"/>
      <c r="C97" s="34" t="n"/>
      <c r="D97" s="33" t="n"/>
      <c r="E97" s="32" t="n"/>
      <c r="F97" s="32" t="n"/>
      <c r="G97" s="10" t="n"/>
    </row>
    <row r="98" ht="15.75" customHeight="1" s="39">
      <c r="A98" s="32" t="n"/>
      <c r="B98" s="33" t="n"/>
      <c r="C98" s="34" t="n"/>
      <c r="D98" s="33" t="n"/>
      <c r="E98" s="32" t="n"/>
      <c r="F98" s="32" t="n"/>
      <c r="G98" s="10" t="n"/>
    </row>
    <row r="99" ht="15.75" customHeight="1" s="39">
      <c r="A99" s="32" t="n"/>
      <c r="B99" s="33" t="n"/>
      <c r="C99" s="34" t="n"/>
      <c r="D99" s="33" t="n"/>
      <c r="E99" s="32" t="n"/>
      <c r="F99" s="32" t="n"/>
      <c r="G99" s="10" t="n"/>
    </row>
    <row r="100" ht="15.75" customHeight="1" s="39">
      <c r="A100" s="32" t="n"/>
      <c r="B100" s="33" t="n"/>
      <c r="C100" s="34" t="n"/>
      <c r="D100" s="33" t="n"/>
      <c r="E100" s="32" t="n"/>
      <c r="F100" s="32" t="n"/>
      <c r="G100" s="10" t="n"/>
    </row>
    <row r="101" ht="15.75" customHeight="1" s="39">
      <c r="A101" s="32" t="n"/>
      <c r="B101" s="33" t="n"/>
      <c r="C101" s="34" t="n"/>
      <c r="D101" s="33" t="n"/>
      <c r="E101" s="32" t="n"/>
      <c r="F101" s="32" t="n"/>
      <c r="G101" s="10" t="n"/>
    </row>
    <row r="102" ht="15.75" customHeight="1" s="39">
      <c r="A102" s="32" t="n"/>
      <c r="B102" s="33" t="n"/>
      <c r="C102" s="34" t="n"/>
      <c r="D102" s="33" t="n"/>
      <c r="E102" s="32" t="n"/>
      <c r="F102" s="32" t="n"/>
      <c r="G102" s="10" t="n"/>
    </row>
    <row r="103" ht="15.75" customHeight="1" s="39">
      <c r="A103" s="32" t="n"/>
      <c r="B103" s="33" t="n"/>
      <c r="C103" s="34" t="n"/>
      <c r="D103" s="33" t="n"/>
      <c r="E103" s="32" t="n"/>
      <c r="F103" s="32" t="n"/>
      <c r="G103" s="10" t="n"/>
    </row>
    <row r="104" ht="15.75" customHeight="1" s="39">
      <c r="A104" s="32" t="n"/>
      <c r="B104" s="33" t="n"/>
      <c r="C104" s="34" t="n"/>
      <c r="D104" s="33" t="n"/>
      <c r="E104" s="32" t="n"/>
      <c r="F104" s="32" t="n"/>
      <c r="G104" s="10" t="n"/>
    </row>
    <row r="105" ht="15.75" customHeight="1" s="39">
      <c r="A105" s="32" t="n"/>
      <c r="B105" s="33" t="n"/>
      <c r="C105" s="34" t="n"/>
      <c r="D105" s="33" t="n"/>
      <c r="E105" s="32" t="n"/>
      <c r="F105" s="32" t="n"/>
      <c r="G105" s="10" t="n"/>
    </row>
    <row r="106" ht="15.75" customHeight="1" s="39">
      <c r="A106" s="32" t="n"/>
      <c r="B106" s="33" t="n"/>
      <c r="C106" s="34" t="n"/>
      <c r="D106" s="33" t="n"/>
      <c r="E106" s="32" t="n"/>
      <c r="F106" s="32" t="n"/>
      <c r="G106" s="10" t="n"/>
    </row>
    <row r="107" ht="15.75" customHeight="1" s="39">
      <c r="A107" s="32" t="n"/>
      <c r="B107" s="33" t="n"/>
      <c r="C107" s="34" t="n"/>
      <c r="D107" s="33" t="n"/>
      <c r="E107" s="32" t="n"/>
      <c r="F107" s="32" t="n"/>
      <c r="G107" s="10" t="n"/>
    </row>
    <row r="108" ht="15.75" customHeight="1" s="39">
      <c r="A108" s="32" t="n"/>
      <c r="B108" s="33" t="n"/>
      <c r="C108" s="34" t="n"/>
      <c r="D108" s="33" t="n"/>
      <c r="E108" s="32" t="n"/>
      <c r="F108" s="32" t="n"/>
      <c r="G108" s="10" t="n"/>
    </row>
    <row r="109" ht="15.75" customHeight="1" s="39">
      <c r="A109" s="32" t="n"/>
      <c r="B109" s="33" t="n"/>
      <c r="C109" s="34" t="n"/>
      <c r="D109" s="33" t="n"/>
      <c r="E109" s="32" t="n"/>
      <c r="F109" s="32" t="n"/>
      <c r="G109" s="10" t="n"/>
    </row>
    <row r="110" ht="15.75" customHeight="1" s="39">
      <c r="A110" s="32" t="n"/>
      <c r="B110" s="33" t="n"/>
      <c r="C110" s="34" t="n"/>
      <c r="D110" s="33" t="n"/>
      <c r="E110" s="32" t="n"/>
      <c r="F110" s="32" t="n"/>
      <c r="G110" s="10" t="n"/>
    </row>
    <row r="111" ht="15.75" customHeight="1" s="39">
      <c r="A111" s="32" t="n"/>
      <c r="B111" s="33" t="n"/>
      <c r="C111" s="34" t="n"/>
      <c r="D111" s="33" t="n"/>
      <c r="E111" s="32" t="n"/>
      <c r="F111" s="32" t="n"/>
      <c r="G111" s="10" t="n"/>
    </row>
    <row r="112" ht="15.75" customHeight="1" s="39">
      <c r="A112" s="32" t="n"/>
      <c r="B112" s="33" t="n"/>
      <c r="C112" s="34" t="n"/>
      <c r="D112" s="33" t="n"/>
      <c r="E112" s="32" t="n"/>
      <c r="F112" s="32" t="n"/>
      <c r="G112" s="10" t="n"/>
    </row>
    <row r="113" ht="15.75" customHeight="1" s="39">
      <c r="A113" s="32" t="n"/>
      <c r="B113" s="33" t="n"/>
      <c r="C113" s="34" t="n"/>
      <c r="D113" s="33" t="n"/>
      <c r="E113" s="32" t="n"/>
      <c r="F113" s="32" t="n"/>
      <c r="G113" s="10" t="n"/>
    </row>
    <row r="114" ht="15.75" customHeight="1" s="39">
      <c r="A114" s="32" t="n"/>
      <c r="B114" s="33" t="n"/>
      <c r="C114" s="34" t="n"/>
      <c r="D114" s="33" t="n"/>
      <c r="E114" s="32" t="n"/>
      <c r="F114" s="32" t="n"/>
      <c r="G114" s="10" t="n"/>
    </row>
    <row r="115" ht="15.75" customHeight="1" s="39">
      <c r="A115" s="32" t="n"/>
      <c r="B115" s="33" t="n"/>
      <c r="C115" s="34" t="n"/>
      <c r="D115" s="33" t="n"/>
      <c r="E115" s="32" t="n"/>
      <c r="F115" s="32" t="n"/>
      <c r="G115" s="10" t="n"/>
    </row>
    <row r="116" ht="15.75" customHeight="1" s="39">
      <c r="A116" s="32" t="n"/>
      <c r="B116" s="33" t="n"/>
      <c r="C116" s="34" t="n"/>
      <c r="D116" s="33" t="n"/>
      <c r="E116" s="32" t="n"/>
      <c r="F116" s="32" t="n"/>
      <c r="G116" s="10" t="n"/>
    </row>
    <row r="117" ht="15.75" customHeight="1" s="39">
      <c r="A117" s="32" t="n"/>
      <c r="B117" s="33" t="n"/>
      <c r="C117" s="34" t="n"/>
      <c r="D117" s="33" t="n"/>
      <c r="E117" s="32" t="n"/>
      <c r="F117" s="32" t="n"/>
      <c r="G117" s="10" t="n"/>
    </row>
    <row r="118" ht="15.75" customHeight="1" s="39">
      <c r="A118" s="32" t="n"/>
      <c r="B118" s="33" t="n"/>
      <c r="C118" s="34" t="n"/>
      <c r="D118" s="33" t="n"/>
      <c r="E118" s="32" t="n"/>
      <c r="F118" s="32" t="n"/>
      <c r="G118" s="10" t="n"/>
    </row>
    <row r="119" ht="15.75" customHeight="1" s="39">
      <c r="A119" s="32" t="n"/>
      <c r="B119" s="33" t="n"/>
      <c r="C119" s="34" t="n"/>
      <c r="D119" s="33" t="n"/>
      <c r="E119" s="32" t="n"/>
      <c r="F119" s="32" t="n"/>
      <c r="G119" s="10" t="n"/>
    </row>
    <row r="120" ht="15.75" customHeight="1" s="39">
      <c r="A120" s="32" t="n"/>
      <c r="B120" s="33" t="n"/>
      <c r="C120" s="34" t="n"/>
      <c r="D120" s="33" t="n"/>
      <c r="E120" s="32" t="n"/>
      <c r="F120" s="32" t="n"/>
      <c r="G120" s="10" t="n"/>
    </row>
    <row r="121" ht="15.75" customHeight="1" s="39">
      <c r="A121" s="32" t="n"/>
      <c r="B121" s="33" t="n"/>
      <c r="C121" s="34" t="n"/>
      <c r="D121" s="33" t="n"/>
      <c r="E121" s="32" t="n"/>
      <c r="F121" s="32" t="n"/>
      <c r="G121" s="10" t="n"/>
    </row>
    <row r="122" ht="15.75" customHeight="1" s="39">
      <c r="A122" s="32" t="n"/>
      <c r="B122" s="33" t="n"/>
      <c r="C122" s="34" t="n"/>
      <c r="D122" s="33" t="n"/>
      <c r="E122" s="32" t="n"/>
      <c r="F122" s="32" t="n"/>
      <c r="G122" s="10" t="n"/>
    </row>
    <row r="123" ht="15.75" customHeight="1" s="39">
      <c r="A123" s="32" t="n"/>
      <c r="B123" s="33" t="n"/>
      <c r="C123" s="34" t="n"/>
      <c r="D123" s="33" t="n"/>
      <c r="E123" s="32" t="n"/>
      <c r="F123" s="32" t="n"/>
      <c r="G123" s="10" t="n"/>
    </row>
    <row r="124" ht="15.75" customHeight="1" s="39">
      <c r="A124" s="32" t="n"/>
      <c r="B124" s="33" t="n"/>
      <c r="C124" s="34" t="n"/>
      <c r="D124" s="33" t="n"/>
      <c r="E124" s="32" t="n"/>
      <c r="F124" s="32" t="n"/>
      <c r="G124" s="10" t="n"/>
    </row>
    <row r="125" ht="15.75" customHeight="1" s="39">
      <c r="A125" s="32" t="n"/>
      <c r="B125" s="33" t="n"/>
      <c r="C125" s="34" t="n"/>
      <c r="D125" s="33" t="n"/>
      <c r="E125" s="32" t="n"/>
      <c r="F125" s="32" t="n"/>
      <c r="G125" s="10" t="n"/>
    </row>
    <row r="126" ht="15.75" customHeight="1" s="39">
      <c r="A126" s="32" t="n"/>
      <c r="B126" s="33" t="n"/>
      <c r="C126" s="34" t="n"/>
      <c r="D126" s="33" t="n"/>
      <c r="E126" s="32" t="n"/>
      <c r="F126" s="32" t="n"/>
      <c r="G126" s="10" t="n"/>
    </row>
    <row r="127" ht="15.75" customHeight="1" s="39">
      <c r="A127" s="32" t="n"/>
      <c r="B127" s="33" t="n"/>
      <c r="C127" s="34" t="n"/>
      <c r="D127" s="33" t="n"/>
      <c r="E127" s="32" t="n"/>
      <c r="F127" s="32" t="n"/>
      <c r="G127" s="10" t="n"/>
    </row>
    <row r="128" ht="15.75" customHeight="1" s="39">
      <c r="A128" s="32" t="n"/>
      <c r="B128" s="33" t="n"/>
      <c r="C128" s="34" t="n"/>
      <c r="D128" s="33" t="n"/>
      <c r="E128" s="32" t="n"/>
      <c r="F128" s="32" t="n"/>
      <c r="G128" s="10" t="n"/>
    </row>
    <row r="129" ht="15.75" customHeight="1" s="39">
      <c r="A129" s="32" t="n"/>
      <c r="B129" s="33" t="n"/>
      <c r="C129" s="34" t="n"/>
      <c r="D129" s="33" t="n"/>
      <c r="E129" s="32" t="n"/>
      <c r="F129" s="32" t="n"/>
      <c r="G129" s="10" t="n"/>
    </row>
    <row r="130" ht="15.75" customHeight="1" s="39">
      <c r="A130" s="32" t="n"/>
      <c r="B130" s="33" t="n"/>
      <c r="C130" s="34" t="n"/>
      <c r="D130" s="33" t="n"/>
      <c r="E130" s="32" t="n"/>
      <c r="F130" s="32" t="n"/>
      <c r="G130" s="10" t="n"/>
    </row>
    <row r="131" ht="15.75" customHeight="1" s="39">
      <c r="A131" s="32" t="n"/>
      <c r="B131" s="33" t="n"/>
      <c r="C131" s="34" t="n"/>
      <c r="D131" s="33" t="n"/>
      <c r="E131" s="32" t="n"/>
      <c r="F131" s="32" t="n"/>
      <c r="G131" s="10" t="n"/>
    </row>
    <row r="132" ht="15.75" customHeight="1" s="39">
      <c r="A132" s="32" t="n"/>
      <c r="B132" s="33" t="n"/>
      <c r="C132" s="34" t="n"/>
      <c r="D132" s="33" t="n"/>
      <c r="E132" s="32" t="n"/>
      <c r="F132" s="32" t="n"/>
      <c r="G132" s="10" t="n"/>
    </row>
    <row r="133" ht="15.75" customHeight="1" s="39">
      <c r="A133" s="32" t="n"/>
      <c r="B133" s="33" t="n"/>
      <c r="C133" s="34" t="n"/>
      <c r="D133" s="33" t="n"/>
      <c r="E133" s="32" t="n"/>
      <c r="F133" s="32" t="n"/>
      <c r="G133" s="10" t="n"/>
    </row>
    <row r="134" ht="15.75" customHeight="1" s="39">
      <c r="A134" s="32" t="n"/>
      <c r="B134" s="33" t="n"/>
      <c r="C134" s="34" t="n"/>
      <c r="D134" s="33" t="n"/>
      <c r="E134" s="32" t="n"/>
      <c r="F134" s="32" t="n"/>
      <c r="G134" s="10" t="n"/>
    </row>
    <row r="135" ht="15.75" customHeight="1" s="39">
      <c r="A135" s="32" t="n"/>
      <c r="B135" s="33" t="n"/>
      <c r="C135" s="34" t="n"/>
      <c r="D135" s="33" t="n"/>
      <c r="E135" s="32" t="n"/>
      <c r="F135" s="32" t="n"/>
      <c r="G135" s="10" t="n"/>
    </row>
    <row r="136" ht="15.75" customHeight="1" s="39">
      <c r="A136" s="32" t="n"/>
      <c r="B136" s="33" t="n"/>
      <c r="C136" s="34" t="n"/>
      <c r="D136" s="33" t="n"/>
      <c r="E136" s="32" t="n"/>
      <c r="F136" s="32" t="n"/>
      <c r="G136" s="10" t="n"/>
    </row>
    <row r="137" ht="15.75" customHeight="1" s="39">
      <c r="A137" s="32" t="n"/>
      <c r="B137" s="33" t="n"/>
      <c r="C137" s="34" t="n"/>
      <c r="D137" s="33" t="n"/>
      <c r="E137" s="32" t="n"/>
      <c r="F137" s="32" t="n"/>
      <c r="G137" s="10" t="n"/>
    </row>
    <row r="138" ht="15.75" customHeight="1" s="39">
      <c r="A138" s="32" t="n"/>
      <c r="B138" s="33" t="n"/>
      <c r="C138" s="34" t="n"/>
      <c r="D138" s="33" t="n"/>
      <c r="E138" s="32" t="n"/>
      <c r="F138" s="32" t="n"/>
      <c r="G138" s="10" t="n"/>
    </row>
    <row r="139" ht="15.75" customHeight="1" s="39">
      <c r="A139" s="32" t="n"/>
      <c r="B139" s="33" t="n"/>
      <c r="C139" s="34" t="n"/>
      <c r="D139" s="33" t="n"/>
      <c r="E139" s="32" t="n"/>
      <c r="F139" s="32" t="n"/>
      <c r="G139" s="10" t="n"/>
    </row>
    <row r="140" ht="15.75" customHeight="1" s="39">
      <c r="A140" s="32" t="n"/>
      <c r="B140" s="33" t="n"/>
      <c r="C140" s="34" t="n"/>
      <c r="D140" s="33" t="n"/>
      <c r="E140" s="32" t="n"/>
      <c r="F140" s="32" t="n"/>
      <c r="G140" s="10" t="n"/>
    </row>
    <row r="141" ht="15.75" customHeight="1" s="39">
      <c r="A141" s="32" t="n"/>
      <c r="B141" s="33" t="n"/>
      <c r="C141" s="34" t="n"/>
      <c r="D141" s="33" t="n"/>
      <c r="E141" s="32" t="n"/>
      <c r="F141" s="32" t="n"/>
      <c r="G141" s="10" t="n"/>
    </row>
    <row r="142" ht="15.75" customHeight="1" s="39">
      <c r="A142" s="32" t="n"/>
      <c r="B142" s="33" t="n"/>
      <c r="C142" s="34" t="n"/>
      <c r="D142" s="33" t="n"/>
      <c r="E142" s="32" t="n"/>
      <c r="F142" s="32" t="n"/>
      <c r="G142" s="10" t="n"/>
    </row>
    <row r="143" ht="15.75" customHeight="1" s="39">
      <c r="A143" s="32" t="n"/>
      <c r="B143" s="33" t="n"/>
      <c r="C143" s="34" t="n"/>
      <c r="D143" s="33" t="n"/>
      <c r="E143" s="32" t="n"/>
      <c r="F143" s="32" t="n"/>
      <c r="G143" s="10" t="n"/>
    </row>
    <row r="144" ht="15.75" customHeight="1" s="39">
      <c r="A144" s="32" t="n"/>
      <c r="B144" s="33" t="n"/>
      <c r="C144" s="34" t="n"/>
      <c r="D144" s="33" t="n"/>
      <c r="E144" s="32" t="n"/>
      <c r="F144" s="32" t="n"/>
      <c r="G144" s="10" t="n"/>
    </row>
    <row r="145" ht="15.75" customHeight="1" s="39">
      <c r="A145" s="32" t="n"/>
      <c r="B145" s="33" t="n"/>
      <c r="C145" s="34" t="n"/>
      <c r="D145" s="33" t="n"/>
      <c r="E145" s="32" t="n"/>
      <c r="F145" s="32" t="n"/>
      <c r="G145" s="10" t="n"/>
    </row>
    <row r="146" ht="15.75" customHeight="1" s="39">
      <c r="A146" s="32" t="n"/>
      <c r="B146" s="33" t="n"/>
      <c r="C146" s="34" t="n"/>
      <c r="D146" s="33" t="n"/>
      <c r="E146" s="32" t="n"/>
      <c r="F146" s="32" t="n"/>
      <c r="G146" s="10" t="n"/>
    </row>
    <row r="147" ht="15.75" customHeight="1" s="39">
      <c r="A147" s="32" t="n"/>
      <c r="B147" s="33" t="n"/>
      <c r="C147" s="34" t="n"/>
      <c r="D147" s="33" t="n"/>
      <c r="E147" s="32" t="n"/>
      <c r="F147" s="32" t="n"/>
      <c r="G147" s="10" t="n"/>
    </row>
    <row r="148" ht="15.75" customHeight="1" s="39">
      <c r="A148" s="32" t="n"/>
      <c r="B148" s="33" t="n"/>
      <c r="C148" s="34" t="n"/>
      <c r="D148" s="33" t="n"/>
      <c r="E148" s="32" t="n"/>
      <c r="F148" s="32" t="n"/>
      <c r="G148" s="10" t="n"/>
    </row>
    <row r="149" ht="15.75" customHeight="1" s="39">
      <c r="A149" s="32" t="n"/>
      <c r="B149" s="33" t="n"/>
      <c r="C149" s="34" t="n"/>
      <c r="D149" s="33" t="n"/>
      <c r="E149" s="32" t="n"/>
      <c r="F149" s="32" t="n"/>
      <c r="G149" s="10" t="n"/>
    </row>
    <row r="150" ht="15.75" customHeight="1" s="39">
      <c r="A150" s="32" t="n"/>
      <c r="B150" s="33" t="n"/>
      <c r="C150" s="34" t="n"/>
      <c r="D150" s="33" t="n"/>
      <c r="E150" s="32" t="n"/>
      <c r="F150" s="32" t="n"/>
      <c r="G150" s="10" t="n"/>
    </row>
    <row r="151" ht="15.75" customHeight="1" s="39">
      <c r="A151" s="32" t="n"/>
      <c r="B151" s="33" t="n"/>
      <c r="C151" s="34" t="n"/>
      <c r="D151" s="33" t="n"/>
      <c r="E151" s="32" t="n"/>
      <c r="F151" s="32" t="n"/>
      <c r="G151" s="10" t="n"/>
    </row>
    <row r="152" ht="15.75" customHeight="1" s="39">
      <c r="A152" s="32" t="n"/>
      <c r="B152" s="33" t="n"/>
      <c r="C152" s="34" t="n"/>
      <c r="D152" s="33" t="n"/>
      <c r="E152" s="32" t="n"/>
      <c r="F152" s="32" t="n"/>
      <c r="G152" s="10" t="n"/>
    </row>
    <row r="153" ht="15.75" customHeight="1" s="39">
      <c r="A153" s="32" t="n"/>
      <c r="B153" s="33" t="n"/>
      <c r="C153" s="34" t="n"/>
      <c r="D153" s="33" t="n"/>
      <c r="E153" s="32" t="n"/>
      <c r="F153" s="32" t="n"/>
      <c r="G153" s="10" t="n"/>
    </row>
    <row r="154" ht="15.75" customHeight="1" s="39">
      <c r="A154" s="32" t="n"/>
      <c r="B154" s="33" t="n"/>
      <c r="C154" s="34" t="n"/>
      <c r="D154" s="33" t="n"/>
      <c r="E154" s="32" t="n"/>
      <c r="F154" s="32" t="n"/>
      <c r="G154" s="10" t="n"/>
    </row>
    <row r="155" ht="15.75" customHeight="1" s="39">
      <c r="A155" s="32" t="n"/>
      <c r="B155" s="33" t="n"/>
      <c r="C155" s="34" t="n"/>
      <c r="D155" s="33" t="n"/>
      <c r="E155" s="32" t="n"/>
      <c r="F155" s="32" t="n"/>
      <c r="G155" s="10" t="n"/>
    </row>
    <row r="156" ht="15.75" customHeight="1" s="39">
      <c r="A156" s="32" t="n"/>
      <c r="B156" s="33" t="n"/>
      <c r="C156" s="34" t="n"/>
      <c r="D156" s="33" t="n"/>
      <c r="E156" s="32" t="n"/>
      <c r="F156" s="32" t="n"/>
      <c r="G156" s="10" t="n"/>
    </row>
    <row r="157" ht="15.75" customHeight="1" s="39">
      <c r="A157" s="32" t="n"/>
      <c r="B157" s="33" t="n"/>
      <c r="C157" s="34" t="n"/>
      <c r="D157" s="33" t="n"/>
      <c r="E157" s="32" t="n"/>
      <c r="F157" s="32" t="n"/>
      <c r="G157" s="10" t="n"/>
    </row>
    <row r="158" ht="15.75" customHeight="1" s="39">
      <c r="A158" s="32" t="n"/>
      <c r="B158" s="33" t="n"/>
      <c r="C158" s="34" t="n"/>
      <c r="D158" s="33" t="n"/>
      <c r="E158" s="32" t="n"/>
      <c r="F158" s="32" t="n"/>
      <c r="G158" s="10" t="n"/>
    </row>
    <row r="159" ht="15.75" customHeight="1" s="39">
      <c r="A159" s="32" t="n"/>
      <c r="B159" s="33" t="n"/>
      <c r="C159" s="34" t="n"/>
      <c r="D159" s="33" t="n"/>
      <c r="E159" s="32" t="n"/>
      <c r="F159" s="32" t="n"/>
      <c r="G159" s="10" t="n"/>
    </row>
    <row r="160" ht="15.75" customHeight="1" s="39">
      <c r="A160" s="32" t="n"/>
      <c r="B160" s="33" t="n"/>
      <c r="C160" s="34" t="n"/>
      <c r="D160" s="33" t="n"/>
      <c r="E160" s="32" t="n"/>
      <c r="F160" s="32" t="n"/>
      <c r="G160" s="10" t="n"/>
    </row>
    <row r="161" ht="15.75" customHeight="1" s="39">
      <c r="A161" s="32" t="n"/>
      <c r="B161" s="33" t="n"/>
      <c r="C161" s="34" t="n"/>
      <c r="D161" s="33" t="n"/>
      <c r="E161" s="32" t="n"/>
      <c r="F161" s="32" t="n"/>
      <c r="G161" s="10" t="n"/>
    </row>
    <row r="162" ht="15.75" customHeight="1" s="39">
      <c r="A162" s="32" t="n"/>
      <c r="B162" s="33" t="n"/>
      <c r="C162" s="34" t="n"/>
      <c r="D162" s="33" t="n"/>
      <c r="E162" s="32" t="n"/>
      <c r="F162" s="32" t="n"/>
      <c r="G162" s="10" t="n"/>
    </row>
    <row r="163" ht="15.75" customHeight="1" s="39">
      <c r="A163" s="32" t="n"/>
      <c r="B163" s="33" t="n"/>
      <c r="C163" s="34" t="n"/>
      <c r="D163" s="33" t="n"/>
      <c r="E163" s="32" t="n"/>
      <c r="F163" s="32" t="n"/>
      <c r="G163" s="10" t="n"/>
    </row>
    <row r="164" ht="15.75" customHeight="1" s="39">
      <c r="A164" s="32" t="n"/>
      <c r="B164" s="33" t="n"/>
      <c r="C164" s="34" t="n"/>
      <c r="D164" s="33" t="n"/>
      <c r="E164" s="32" t="n"/>
      <c r="F164" s="32" t="n"/>
      <c r="G164" s="10" t="n"/>
    </row>
    <row r="165" ht="15.75" customHeight="1" s="39">
      <c r="A165" s="32" t="n"/>
      <c r="B165" s="33" t="n"/>
      <c r="C165" s="34" t="n"/>
      <c r="D165" s="33" t="n"/>
      <c r="E165" s="32" t="n"/>
      <c r="F165" s="32" t="n"/>
      <c r="G165" s="10" t="n"/>
    </row>
    <row r="166" ht="15.75" customHeight="1" s="39">
      <c r="A166" s="32" t="n"/>
      <c r="B166" s="33" t="n"/>
      <c r="C166" s="34" t="n"/>
      <c r="D166" s="33" t="n"/>
      <c r="E166" s="32" t="n"/>
      <c r="F166" s="32" t="n"/>
      <c r="G166" s="10" t="n"/>
    </row>
    <row r="167" ht="15.75" customHeight="1" s="39">
      <c r="A167" s="32" t="n"/>
      <c r="B167" s="33" t="n"/>
      <c r="C167" s="34" t="n"/>
      <c r="D167" s="33" t="n"/>
      <c r="E167" s="32" t="n"/>
      <c r="F167" s="32" t="n"/>
      <c r="G167" s="10" t="n"/>
    </row>
    <row r="168" ht="15.75" customHeight="1" s="39">
      <c r="A168" s="32" t="n"/>
      <c r="B168" s="33" t="n"/>
      <c r="C168" s="34" t="n"/>
      <c r="D168" s="33" t="n"/>
      <c r="E168" s="32" t="n"/>
      <c r="F168" s="32" t="n"/>
      <c r="G168" s="10" t="n"/>
    </row>
    <row r="169" ht="15.75" customHeight="1" s="39">
      <c r="A169" s="32" t="n"/>
      <c r="B169" s="33" t="n"/>
      <c r="C169" s="34" t="n"/>
      <c r="D169" s="33" t="n"/>
      <c r="E169" s="32" t="n"/>
      <c r="F169" s="32" t="n"/>
      <c r="G169" s="10" t="n"/>
    </row>
    <row r="170" ht="15.75" customHeight="1" s="39">
      <c r="A170" s="32" t="n"/>
      <c r="B170" s="33" t="n"/>
      <c r="C170" s="34" t="n"/>
      <c r="D170" s="33" t="n"/>
      <c r="E170" s="32" t="n"/>
      <c r="F170" s="32" t="n"/>
      <c r="G170" s="10" t="n"/>
    </row>
    <row r="171" ht="15.75" customHeight="1" s="39">
      <c r="A171" s="32" t="n"/>
      <c r="B171" s="33" t="n"/>
      <c r="C171" s="34" t="n"/>
      <c r="D171" s="33" t="n"/>
      <c r="E171" s="32" t="n"/>
      <c r="F171" s="32" t="n"/>
      <c r="G171" s="10" t="n"/>
    </row>
    <row r="172" ht="15.75" customHeight="1" s="39">
      <c r="A172" s="32" t="n"/>
      <c r="B172" s="33" t="n"/>
      <c r="C172" s="34" t="n"/>
      <c r="D172" s="33" t="n"/>
      <c r="E172" s="32" t="n"/>
      <c r="F172" s="32" t="n"/>
      <c r="G172" s="10" t="n"/>
    </row>
    <row r="173" ht="15.75" customHeight="1" s="39">
      <c r="A173" s="32" t="n"/>
      <c r="B173" s="33" t="n"/>
      <c r="C173" s="34" t="n"/>
      <c r="D173" s="33" t="n"/>
      <c r="E173" s="32" t="n"/>
      <c r="F173" s="32" t="n"/>
      <c r="G173" s="10" t="n"/>
    </row>
    <row r="174" ht="15.75" customHeight="1" s="39">
      <c r="A174" s="32" t="n"/>
      <c r="B174" s="33" t="n"/>
      <c r="C174" s="34" t="n"/>
      <c r="D174" s="33" t="n"/>
      <c r="E174" s="32" t="n"/>
      <c r="F174" s="32" t="n"/>
      <c r="G174" s="10" t="n"/>
    </row>
    <row r="175" ht="15.75" customHeight="1" s="39">
      <c r="A175" s="32" t="n"/>
      <c r="B175" s="33" t="n"/>
      <c r="C175" s="34" t="n"/>
      <c r="D175" s="33" t="n"/>
      <c r="E175" s="32" t="n"/>
      <c r="F175" s="32" t="n"/>
      <c r="G175" s="10" t="n"/>
    </row>
    <row r="176" ht="15.75" customHeight="1" s="39">
      <c r="A176" s="32" t="n"/>
      <c r="B176" s="33" t="n"/>
      <c r="C176" s="34" t="n"/>
      <c r="D176" s="33" t="n"/>
      <c r="E176" s="32" t="n"/>
      <c r="F176" s="32" t="n"/>
      <c r="G176" s="10" t="n"/>
    </row>
    <row r="177" ht="15.75" customHeight="1" s="39">
      <c r="A177" s="32" t="n"/>
      <c r="B177" s="33" t="n"/>
      <c r="C177" s="34" t="n"/>
      <c r="D177" s="33" t="n"/>
      <c r="E177" s="32" t="n"/>
      <c r="F177" s="32" t="n"/>
      <c r="G177" s="10" t="n"/>
    </row>
    <row r="178" ht="15.75" customHeight="1" s="39">
      <c r="A178" s="32" t="n"/>
      <c r="B178" s="33" t="n"/>
      <c r="C178" s="34" t="n"/>
      <c r="D178" s="33" t="n"/>
      <c r="E178" s="32" t="n"/>
      <c r="F178" s="32" t="n"/>
      <c r="G178" s="10" t="n"/>
    </row>
    <row r="179" ht="15.75" customHeight="1" s="39">
      <c r="A179" s="32" t="n"/>
      <c r="B179" s="33" t="n"/>
      <c r="C179" s="34" t="n"/>
      <c r="D179" s="33" t="n"/>
      <c r="E179" s="32" t="n"/>
      <c r="F179" s="32" t="n"/>
      <c r="G179" s="10" t="n"/>
    </row>
    <row r="180" ht="15.75" customHeight="1" s="39">
      <c r="A180" s="32" t="n"/>
      <c r="B180" s="33" t="n"/>
      <c r="C180" s="34" t="n"/>
      <c r="D180" s="33" t="n"/>
      <c r="E180" s="32" t="n"/>
      <c r="F180" s="32" t="n"/>
      <c r="G180" s="10" t="n"/>
    </row>
    <row r="181" ht="15.75" customHeight="1" s="39">
      <c r="A181" s="32" t="n"/>
      <c r="B181" s="33" t="n"/>
      <c r="C181" s="34" t="n"/>
      <c r="D181" s="33" t="n"/>
      <c r="E181" s="32" t="n"/>
      <c r="F181" s="32" t="n"/>
      <c r="G181" s="10" t="n"/>
    </row>
    <row r="182" ht="15.75" customHeight="1" s="39">
      <c r="A182" s="32" t="n"/>
      <c r="B182" s="33" t="n"/>
      <c r="C182" s="34" t="n"/>
      <c r="D182" s="33" t="n"/>
      <c r="E182" s="32" t="n"/>
      <c r="F182" s="32" t="n"/>
      <c r="G182" s="10" t="n"/>
    </row>
    <row r="183" ht="15.75" customHeight="1" s="39">
      <c r="A183" s="32" t="n"/>
      <c r="B183" s="33" t="n"/>
      <c r="C183" s="34" t="n"/>
      <c r="D183" s="33" t="n"/>
      <c r="E183" s="32" t="n"/>
      <c r="F183" s="32" t="n"/>
      <c r="G183" s="10" t="n"/>
    </row>
    <row r="184" ht="15.75" customHeight="1" s="39">
      <c r="A184" s="32" t="n"/>
      <c r="B184" s="33" t="n"/>
      <c r="C184" s="34" t="n"/>
      <c r="D184" s="33" t="n"/>
      <c r="E184" s="32" t="n"/>
      <c r="F184" s="32" t="n"/>
      <c r="G184" s="10" t="n"/>
    </row>
    <row r="185" ht="15.75" customHeight="1" s="39">
      <c r="A185" s="32" t="n"/>
      <c r="B185" s="33" t="n"/>
      <c r="C185" s="34" t="n"/>
      <c r="D185" s="33" t="n"/>
      <c r="E185" s="32" t="n"/>
      <c r="F185" s="32" t="n"/>
      <c r="G185" s="10" t="n"/>
    </row>
    <row r="186" ht="15.75" customHeight="1" s="39">
      <c r="A186" s="32" t="n"/>
      <c r="B186" s="33" t="n"/>
      <c r="C186" s="34" t="n"/>
      <c r="D186" s="33" t="n"/>
      <c r="E186" s="32" t="n"/>
      <c r="F186" s="32" t="n"/>
      <c r="G186" s="10" t="n"/>
    </row>
    <row r="187" ht="15.75" customHeight="1" s="39">
      <c r="A187" s="32" t="n"/>
      <c r="B187" s="33" t="n"/>
      <c r="C187" s="34" t="n"/>
      <c r="D187" s="33" t="n"/>
      <c r="E187" s="32" t="n"/>
      <c r="F187" s="32" t="n"/>
      <c r="G187" s="10" t="n"/>
    </row>
    <row r="188" ht="15.75" customHeight="1" s="39">
      <c r="A188" s="32" t="n"/>
      <c r="B188" s="33" t="n"/>
      <c r="C188" s="34" t="n"/>
      <c r="D188" s="33" t="n"/>
      <c r="E188" s="32" t="n"/>
      <c r="F188" s="32" t="n"/>
      <c r="G188" s="10" t="n"/>
    </row>
    <row r="189" ht="15.75" customHeight="1" s="39">
      <c r="A189" s="32" t="n"/>
      <c r="B189" s="33" t="n"/>
      <c r="C189" s="34" t="n"/>
      <c r="D189" s="33" t="n"/>
      <c r="E189" s="32" t="n"/>
      <c r="F189" s="32" t="n"/>
      <c r="G189" s="10" t="n"/>
    </row>
    <row r="190" ht="15.75" customHeight="1" s="39">
      <c r="A190" s="32" t="n"/>
      <c r="B190" s="33" t="n"/>
      <c r="C190" s="34" t="n"/>
      <c r="D190" s="33" t="n"/>
      <c r="E190" s="32" t="n"/>
      <c r="F190" s="32" t="n"/>
      <c r="G190" s="10" t="n"/>
    </row>
    <row r="191" ht="15.75" customHeight="1" s="39"/>
    <row r="192" ht="15.75" customHeight="1" s="39"/>
    <row r="193" ht="15.75" customHeight="1" s="39"/>
    <row r="194" ht="15.75" customHeight="1" s="39"/>
    <row r="195" ht="15.75" customHeight="1" s="39"/>
    <row r="196" ht="15.75" customHeight="1" s="39"/>
    <row r="197" ht="15.75" customHeight="1" s="39"/>
    <row r="198" ht="15.75" customHeight="1" s="39"/>
    <row r="199" ht="15.75" customHeight="1" s="39"/>
    <row r="200" ht="15.75" customHeight="1" s="39"/>
    <row r="201" ht="15.75" customHeight="1" s="39"/>
    <row r="202" ht="15.75" customHeight="1" s="39"/>
    <row r="203" ht="15.75" customHeight="1" s="39"/>
    <row r="204" ht="15.75" customHeight="1" s="39"/>
    <row r="205" ht="15.75" customHeight="1" s="39"/>
    <row r="206" ht="15.75" customHeight="1" s="39"/>
    <row r="207" ht="15.75" customHeight="1" s="39"/>
    <row r="208" ht="15.75" customHeight="1" s="39"/>
    <row r="209" ht="15.75" customHeight="1" s="39"/>
    <row r="210" ht="15.75" customHeight="1" s="39"/>
    <row r="211" ht="15.75" customHeight="1" s="39"/>
    <row r="212" ht="15.75" customHeight="1" s="39"/>
    <row r="213" ht="15.75" customHeight="1" s="39"/>
    <row r="214" ht="15.75" customHeight="1" s="39"/>
    <row r="215" ht="15.75" customHeight="1" s="39"/>
    <row r="216" ht="15.75" customHeight="1" s="39"/>
    <row r="217" ht="15.75" customHeight="1" s="39"/>
    <row r="218" ht="15.75" customHeight="1" s="39"/>
    <row r="219" ht="15.75" customHeight="1" s="39"/>
    <row r="220" ht="15.75" customHeight="1" s="39"/>
    <row r="221" ht="15.75" customHeight="1" s="39"/>
    <row r="222" ht="15.75" customHeight="1" s="39"/>
    <row r="223" ht="15.75" customHeight="1" s="39"/>
    <row r="224" ht="15.75" customHeight="1" s="39"/>
    <row r="225" ht="15.75" customHeight="1" s="39"/>
    <row r="226" ht="15.75" customHeight="1" s="39"/>
    <row r="227" ht="15.75" customHeight="1" s="39"/>
    <row r="228" ht="15.75" customHeight="1" s="39"/>
    <row r="229" ht="15.75" customHeight="1" s="39"/>
    <row r="230" ht="15.75" customHeight="1" s="39"/>
    <row r="231" ht="15.75" customHeight="1" s="39"/>
    <row r="232" ht="15.75" customHeight="1" s="39"/>
    <row r="233" ht="15.75" customHeight="1" s="39"/>
    <row r="234" ht="15.75" customHeight="1" s="39"/>
    <row r="235" ht="15.75" customHeight="1" s="39"/>
    <row r="236" ht="15.75" customHeight="1" s="39"/>
    <row r="237" ht="15.75" customHeight="1" s="39"/>
    <row r="238" ht="15.75" customHeight="1" s="39"/>
    <row r="239" ht="15.75" customHeight="1" s="39"/>
    <row r="240" ht="15.75" customHeight="1" s="39"/>
    <row r="241" ht="15.75" customHeight="1" s="39"/>
    <row r="242" ht="15.75" customHeight="1" s="39"/>
    <row r="243" ht="15.75" customHeight="1" s="39"/>
    <row r="244" ht="15.75" customHeight="1" s="39"/>
    <row r="245" ht="15.75" customHeight="1" s="39"/>
    <row r="246" ht="15.75" customHeight="1" s="39"/>
    <row r="247" ht="15.75" customHeight="1" s="39"/>
    <row r="248" ht="15.75" customHeight="1" s="39"/>
    <row r="249" ht="15.75" customHeight="1" s="39"/>
    <row r="250" ht="15.75" customHeight="1" s="39"/>
    <row r="251" ht="15.75" customHeight="1" s="39"/>
    <row r="252" ht="15.75" customHeight="1" s="39"/>
    <row r="253" ht="15.75" customHeight="1" s="39"/>
    <row r="254" ht="15.75" customHeight="1" s="39"/>
    <row r="255" ht="15.75" customHeight="1" s="39"/>
    <row r="256" ht="15.75" customHeight="1" s="39"/>
    <row r="257" ht="15.75" customHeight="1" s="39"/>
    <row r="258" ht="15.75" customHeight="1" s="39"/>
    <row r="259" ht="15.75" customHeight="1" s="39"/>
    <row r="260" ht="15.75" customHeight="1" s="39"/>
    <row r="261" ht="15.75" customHeight="1" s="39"/>
    <row r="262" ht="15.75" customHeight="1" s="39"/>
    <row r="263" ht="15.75" customHeight="1" s="39"/>
    <row r="264" ht="15.75" customHeight="1" s="39"/>
    <row r="265" ht="15.75" customHeight="1" s="39"/>
    <row r="266" ht="15.75" customHeight="1" s="39"/>
    <row r="267" ht="15.75" customHeight="1" s="39"/>
    <row r="268" ht="15.75" customHeight="1" s="39"/>
    <row r="269" ht="15.75" customHeight="1" s="39"/>
    <row r="270" ht="15.75" customHeight="1" s="39"/>
    <row r="271" ht="15.75" customHeight="1" s="39"/>
    <row r="272" ht="15.75" customHeight="1" s="39"/>
    <row r="273" ht="15.75" customHeight="1" s="39"/>
    <row r="274" ht="15.75" customHeight="1" s="39"/>
    <row r="275" ht="15.75" customHeight="1" s="39"/>
    <row r="276" ht="15.75" customHeight="1" s="39"/>
    <row r="277" ht="15.75" customHeight="1" s="39"/>
    <row r="278" ht="15.75" customHeight="1" s="39"/>
    <row r="279" ht="15.75" customHeight="1" s="39"/>
    <row r="280" ht="15.75" customHeight="1" s="39"/>
    <row r="281" ht="15.75" customHeight="1" s="39"/>
    <row r="282" ht="15.75" customHeight="1" s="39"/>
    <row r="283" ht="15.75" customHeight="1" s="39"/>
    <row r="284" ht="15.75" customHeight="1" s="39"/>
    <row r="285" ht="15.75" customHeight="1" s="39"/>
    <row r="286" ht="15.75" customHeight="1" s="39"/>
    <row r="287" ht="15.75" customHeight="1" s="39"/>
    <row r="288" ht="15.75" customHeight="1" s="39"/>
    <row r="289" ht="15.75" customHeight="1" s="39"/>
    <row r="290" ht="15.75" customHeight="1" s="39"/>
    <row r="291" ht="15.75" customHeight="1" s="39"/>
    <row r="292" ht="15.75" customHeight="1" s="39"/>
    <row r="293" ht="15.75" customHeight="1" s="39"/>
    <row r="294" ht="15.75" customHeight="1" s="39"/>
    <row r="295" ht="15.75" customHeight="1" s="39"/>
    <row r="296" ht="15.75" customHeight="1" s="39"/>
    <row r="297" ht="15.75" customHeight="1" s="39"/>
    <row r="298" ht="15.75" customHeight="1" s="39"/>
    <row r="299" ht="15.75" customHeight="1" s="39"/>
    <row r="300" ht="15.75" customHeight="1" s="39"/>
    <row r="301" ht="15.75" customHeight="1" s="39"/>
    <row r="302" ht="15.75" customHeight="1" s="39"/>
    <row r="303" ht="15.75" customHeight="1" s="39"/>
    <row r="304" ht="15.75" customHeight="1" s="39"/>
    <row r="305" ht="15.75" customHeight="1" s="39"/>
    <row r="306" ht="15.75" customHeight="1" s="39"/>
    <row r="307" ht="15.75" customHeight="1" s="39"/>
    <row r="308" ht="15.75" customHeight="1" s="39"/>
    <row r="309" ht="15.75" customHeight="1" s="39"/>
    <row r="310" ht="15.75" customHeight="1" s="39"/>
    <row r="311" ht="15.75" customHeight="1" s="39"/>
    <row r="312" ht="15.75" customHeight="1" s="39"/>
    <row r="313" ht="15.75" customHeight="1" s="39"/>
    <row r="314" ht="15.75" customHeight="1" s="39"/>
    <row r="315" ht="15.75" customHeight="1" s="39"/>
    <row r="316" ht="15.75" customHeight="1" s="39"/>
    <row r="317" ht="15.75" customHeight="1" s="39"/>
    <row r="318" ht="15.75" customHeight="1" s="39"/>
    <row r="319" ht="15.75" customHeight="1" s="39"/>
    <row r="320" ht="15.75" customHeight="1" s="39"/>
    <row r="321" ht="15.75" customHeight="1" s="39"/>
    <row r="322" ht="15.75" customHeight="1" s="39"/>
    <row r="323" ht="15.75" customHeight="1" s="39"/>
    <row r="324" ht="15.75" customHeight="1" s="39"/>
    <row r="325" ht="15.75" customHeight="1" s="39"/>
    <row r="326" ht="15.75" customHeight="1" s="39"/>
    <row r="327" ht="15.75" customHeight="1" s="39"/>
    <row r="328" ht="15.75" customHeight="1" s="39"/>
    <row r="329" ht="15.75" customHeight="1" s="39"/>
    <row r="330" ht="15.75" customHeight="1" s="39"/>
    <row r="331" ht="15.75" customHeight="1" s="39"/>
    <row r="332" ht="15.75" customHeight="1" s="39"/>
    <row r="333" ht="15.75" customHeight="1" s="39"/>
    <row r="334" ht="15.75" customHeight="1" s="39"/>
    <row r="335" ht="15.75" customHeight="1" s="39"/>
    <row r="336" ht="15.75" customHeight="1" s="39"/>
    <row r="337" ht="15.75" customHeight="1" s="39"/>
    <row r="338" ht="15.75" customHeight="1" s="39"/>
    <row r="339" ht="15.75" customHeight="1" s="39"/>
    <row r="340" ht="15.75" customHeight="1" s="39"/>
    <row r="341" ht="15.75" customHeight="1" s="39"/>
    <row r="342" ht="15.75" customHeight="1" s="39"/>
    <row r="343" ht="15.75" customHeight="1" s="39"/>
    <row r="344" ht="15.75" customHeight="1" s="39"/>
    <row r="345" ht="15.75" customHeight="1" s="39"/>
    <row r="346" ht="15.75" customHeight="1" s="39"/>
    <row r="347" ht="15.75" customHeight="1" s="39"/>
    <row r="348" ht="15.75" customHeight="1" s="39"/>
    <row r="349" ht="15.75" customHeight="1" s="39"/>
    <row r="350" ht="15.75" customHeight="1" s="39"/>
    <row r="351" ht="15.75" customHeight="1" s="39"/>
    <row r="352" ht="15.75" customHeight="1" s="39"/>
    <row r="353" ht="15.75" customHeight="1" s="39"/>
    <row r="354" ht="15.75" customHeight="1" s="39"/>
    <row r="355" ht="15.75" customHeight="1" s="39"/>
    <row r="356" ht="15.75" customHeight="1" s="39"/>
    <row r="357" ht="15.75" customHeight="1" s="39"/>
    <row r="358" ht="15.75" customHeight="1" s="39"/>
    <row r="359" ht="15.75" customHeight="1" s="39"/>
    <row r="360" ht="15.75" customHeight="1" s="39"/>
    <row r="361" ht="15.75" customHeight="1" s="39"/>
    <row r="362" ht="15.75" customHeight="1" s="39"/>
    <row r="363" ht="15.75" customHeight="1" s="39"/>
    <row r="364" ht="15.75" customHeight="1" s="39"/>
    <row r="365" ht="15.75" customHeight="1" s="39"/>
    <row r="366" ht="15.75" customHeight="1" s="39"/>
    <row r="367" ht="15.75" customHeight="1" s="39"/>
    <row r="368" ht="15.75" customHeight="1" s="39"/>
    <row r="369" ht="15.75" customHeight="1" s="39"/>
    <row r="370" ht="15.75" customHeight="1" s="39"/>
    <row r="371" ht="15.75" customHeight="1" s="39"/>
    <row r="372" ht="15.75" customHeight="1" s="39"/>
    <row r="373" ht="15.75" customHeight="1" s="39"/>
    <row r="374" ht="15.75" customHeight="1" s="39"/>
    <row r="375" ht="15.75" customHeight="1" s="39"/>
    <row r="376" ht="15.75" customHeight="1" s="39"/>
    <row r="377" ht="15.75" customHeight="1" s="39"/>
    <row r="378" ht="15.75" customHeight="1" s="39"/>
    <row r="379" ht="15.75" customHeight="1" s="39"/>
    <row r="380" ht="15.75" customHeight="1" s="39"/>
    <row r="381" ht="15.75" customHeight="1" s="39"/>
    <row r="382" ht="15.75" customHeight="1" s="39"/>
    <row r="383" ht="15.75" customHeight="1" s="39"/>
    <row r="384" ht="15.75" customHeight="1" s="39"/>
    <row r="385" ht="15.75" customHeight="1" s="39"/>
    <row r="386" ht="15.75" customHeight="1" s="39"/>
    <row r="387" ht="15.75" customHeight="1" s="39"/>
    <row r="388" ht="15.75" customHeight="1" s="39"/>
    <row r="389" ht="15.75" customHeight="1" s="39"/>
    <row r="390" ht="15.75" customHeight="1" s="39"/>
    <row r="391" ht="15.75" customHeight="1" s="39"/>
    <row r="392" ht="15.75" customHeight="1" s="39"/>
    <row r="393" ht="15.75" customHeight="1" s="39"/>
    <row r="394" ht="15.75" customHeight="1" s="39"/>
    <row r="395" ht="15.75" customHeight="1" s="39"/>
    <row r="396" ht="15.75" customHeight="1" s="39"/>
    <row r="397" ht="15.75" customHeight="1" s="39"/>
    <row r="398" ht="15.75" customHeight="1" s="39"/>
    <row r="399" ht="15.75" customHeight="1" s="39"/>
    <row r="400" ht="15.75" customHeight="1" s="39"/>
    <row r="401" ht="15.75" customHeight="1" s="39"/>
    <row r="402" ht="15.75" customHeight="1" s="39"/>
    <row r="403" ht="15.75" customHeight="1" s="39"/>
    <row r="404" ht="15.75" customHeight="1" s="39"/>
    <row r="405" ht="15.75" customHeight="1" s="39"/>
    <row r="406" ht="15.75" customHeight="1" s="39"/>
    <row r="407" ht="15.75" customHeight="1" s="39"/>
    <row r="408" ht="15.75" customHeight="1" s="39"/>
    <row r="409" ht="15.75" customHeight="1" s="39"/>
    <row r="410" ht="15.75" customHeight="1" s="39"/>
    <row r="411" ht="15.75" customHeight="1" s="39"/>
    <row r="412" ht="15.75" customHeight="1" s="39"/>
    <row r="413" ht="15.75" customHeight="1" s="39"/>
    <row r="414" ht="15.75" customHeight="1" s="39"/>
    <row r="415" ht="15.75" customHeight="1" s="39"/>
    <row r="416" ht="15.75" customHeight="1" s="39"/>
    <row r="417" ht="15.75" customHeight="1" s="39"/>
    <row r="418" ht="15.75" customHeight="1" s="39"/>
    <row r="419" ht="15.75" customHeight="1" s="39"/>
    <row r="420" ht="15.75" customHeight="1" s="39"/>
    <row r="421" ht="15.75" customHeight="1" s="39"/>
    <row r="422" ht="15.75" customHeight="1" s="39"/>
    <row r="423" ht="15.75" customHeight="1" s="39"/>
    <row r="424" ht="15.75" customHeight="1" s="39"/>
    <row r="425" ht="15.75" customHeight="1" s="39"/>
    <row r="426" ht="15.75" customHeight="1" s="39"/>
    <row r="427" ht="15.75" customHeight="1" s="39"/>
    <row r="428" ht="15.75" customHeight="1" s="39"/>
    <row r="429" ht="15.75" customHeight="1" s="39"/>
    <row r="430" ht="15.75" customHeight="1" s="39"/>
    <row r="431" ht="15.75" customHeight="1" s="39"/>
    <row r="432" ht="15.75" customHeight="1" s="39"/>
    <row r="433" ht="15.75" customHeight="1" s="39"/>
    <row r="434" ht="15.75" customHeight="1" s="39"/>
    <row r="435" ht="15.75" customHeight="1" s="39"/>
    <row r="436" ht="15.75" customHeight="1" s="39"/>
    <row r="437" ht="15.75" customHeight="1" s="39"/>
    <row r="438" ht="15.75" customHeight="1" s="39"/>
    <row r="439" ht="15.75" customHeight="1" s="39"/>
    <row r="440" ht="15.75" customHeight="1" s="39"/>
    <row r="441" ht="15.75" customHeight="1" s="39"/>
    <row r="442" ht="15.75" customHeight="1" s="39"/>
    <row r="443" ht="15.75" customHeight="1" s="39"/>
    <row r="444" ht="15.75" customHeight="1" s="39"/>
    <row r="445" ht="15.75" customHeight="1" s="39"/>
    <row r="446" ht="15.75" customHeight="1" s="39"/>
    <row r="447" ht="15.75" customHeight="1" s="39"/>
    <row r="448" ht="15.75" customHeight="1" s="39"/>
    <row r="449" ht="15.75" customHeight="1" s="39"/>
    <row r="450" ht="15.75" customHeight="1" s="39"/>
    <row r="451" ht="15.75" customHeight="1" s="39"/>
    <row r="452" ht="15.75" customHeight="1" s="39"/>
    <row r="453" ht="15.75" customHeight="1" s="39"/>
    <row r="454" ht="15.75" customHeight="1" s="39"/>
    <row r="455" ht="15.75" customHeight="1" s="39"/>
    <row r="456" ht="15.75" customHeight="1" s="39"/>
    <row r="457" ht="15.75" customHeight="1" s="39"/>
    <row r="458" ht="15.75" customHeight="1" s="39"/>
    <row r="459" ht="15.75" customHeight="1" s="39"/>
    <row r="460" ht="15.75" customHeight="1" s="39"/>
    <row r="461" ht="15.75" customHeight="1" s="39"/>
    <row r="462" ht="15.75" customHeight="1" s="39"/>
    <row r="463" ht="15.75" customHeight="1" s="39"/>
    <row r="464" ht="15.75" customHeight="1" s="39"/>
    <row r="465" ht="15.75" customHeight="1" s="39"/>
    <row r="466" ht="15.75" customHeight="1" s="39"/>
    <row r="467" ht="15.75" customHeight="1" s="39"/>
    <row r="468" ht="15.75" customHeight="1" s="39"/>
    <row r="469" ht="15.75" customHeight="1" s="39"/>
    <row r="470" ht="15.75" customHeight="1" s="39"/>
    <row r="471" ht="15.75" customHeight="1" s="39"/>
    <row r="472" ht="15.75" customHeight="1" s="39"/>
    <row r="473" ht="15.75" customHeight="1" s="39"/>
    <row r="474" ht="15.75" customHeight="1" s="39"/>
    <row r="475" ht="15.75" customHeight="1" s="39"/>
    <row r="476" ht="15.75" customHeight="1" s="39"/>
    <row r="477" ht="15.75" customHeight="1" s="39"/>
    <row r="478" ht="15.75" customHeight="1" s="39"/>
    <row r="479" ht="15.75" customHeight="1" s="39"/>
    <row r="480" ht="15.75" customHeight="1" s="39"/>
    <row r="481" ht="15.75" customHeight="1" s="39"/>
    <row r="482" ht="15.75" customHeight="1" s="39"/>
    <row r="483" ht="15.75" customHeight="1" s="39"/>
    <row r="484" ht="15.75" customHeight="1" s="39"/>
    <row r="485" ht="15.75" customHeight="1" s="39"/>
    <row r="486" ht="15.75" customHeight="1" s="39"/>
    <row r="487" ht="15.75" customHeight="1" s="39"/>
    <row r="488" ht="15.75" customHeight="1" s="39"/>
    <row r="489" ht="15.75" customHeight="1" s="39"/>
    <row r="490" ht="15.75" customHeight="1" s="39"/>
    <row r="491" ht="15.75" customHeight="1" s="39"/>
    <row r="492" ht="15.75" customHeight="1" s="39"/>
    <row r="493" ht="15.75" customHeight="1" s="39"/>
    <row r="494" ht="15.75" customHeight="1" s="39"/>
    <row r="495" ht="15.75" customHeight="1" s="39"/>
    <row r="496" ht="15.75" customHeight="1" s="39"/>
    <row r="497" ht="15.75" customHeight="1" s="39"/>
    <row r="498" ht="15.75" customHeight="1" s="39"/>
    <row r="499" ht="15.75" customHeight="1" s="39"/>
    <row r="500" ht="15.75" customHeight="1" s="39"/>
    <row r="501" ht="15.75" customHeight="1" s="39"/>
    <row r="502" ht="15.75" customHeight="1" s="39"/>
    <row r="503" ht="15.75" customHeight="1" s="39"/>
    <row r="504" ht="15.75" customHeight="1" s="39"/>
    <row r="505" ht="15.75" customHeight="1" s="39"/>
    <row r="506" ht="15.75" customHeight="1" s="39"/>
    <row r="507" ht="15.75" customHeight="1" s="39"/>
    <row r="508" ht="15.75" customHeight="1" s="39"/>
    <row r="509" ht="15.75" customHeight="1" s="39"/>
    <row r="510" ht="15.75" customHeight="1" s="39"/>
    <row r="511" ht="15.75" customHeight="1" s="39"/>
    <row r="512" ht="15.75" customHeight="1" s="39"/>
    <row r="513" ht="15.75" customHeight="1" s="39"/>
    <row r="514" ht="15.75" customHeight="1" s="39"/>
    <row r="515" ht="15.75" customHeight="1" s="39"/>
    <row r="516" ht="15.75" customHeight="1" s="39"/>
    <row r="517" ht="15.75" customHeight="1" s="39"/>
    <row r="518" ht="15.75" customHeight="1" s="39"/>
    <row r="519" ht="15.75" customHeight="1" s="39"/>
    <row r="520" ht="15.75" customHeight="1" s="39"/>
    <row r="521" ht="15.75" customHeight="1" s="39"/>
    <row r="522" ht="15.75" customHeight="1" s="39"/>
    <row r="523" ht="15.75" customHeight="1" s="39"/>
    <row r="524" ht="15.75" customHeight="1" s="39"/>
    <row r="525" ht="15.75" customHeight="1" s="39"/>
    <row r="526" ht="15.75" customHeight="1" s="39"/>
    <row r="527" ht="15.75" customHeight="1" s="39"/>
    <row r="528" ht="15.75" customHeight="1" s="39"/>
    <row r="529" ht="15.75" customHeight="1" s="39"/>
    <row r="530" ht="15.75" customHeight="1" s="39"/>
    <row r="531" ht="15.75" customHeight="1" s="39"/>
    <row r="532" ht="15.75" customHeight="1" s="39"/>
    <row r="533" ht="15.75" customHeight="1" s="39"/>
    <row r="534" ht="15.75" customHeight="1" s="39"/>
    <row r="535" ht="15.75" customHeight="1" s="39"/>
    <row r="536" ht="15.75" customHeight="1" s="39"/>
    <row r="537" ht="15.75" customHeight="1" s="39"/>
    <row r="538" ht="15.75" customHeight="1" s="39"/>
    <row r="539" ht="15.75" customHeight="1" s="39"/>
    <row r="540" ht="15.75" customHeight="1" s="39"/>
    <row r="541" ht="15.75" customHeight="1" s="39"/>
    <row r="542" ht="15.75" customHeight="1" s="39"/>
    <row r="543" ht="15.75" customHeight="1" s="39"/>
    <row r="544" ht="15.75" customHeight="1" s="39"/>
    <row r="545" ht="15.75" customHeight="1" s="39"/>
    <row r="546" ht="15.75" customHeight="1" s="39"/>
    <row r="547" ht="15.75" customHeight="1" s="39"/>
    <row r="548" ht="15.75" customHeight="1" s="39"/>
    <row r="549" ht="15.75" customHeight="1" s="39"/>
    <row r="550" ht="15.75" customHeight="1" s="39"/>
    <row r="551" ht="15.75" customHeight="1" s="39"/>
    <row r="552" ht="15.75" customHeight="1" s="39"/>
    <row r="553" ht="15.75" customHeight="1" s="39"/>
    <row r="554" ht="15.75" customHeight="1" s="39"/>
    <row r="555" ht="15.75" customHeight="1" s="39"/>
    <row r="556" ht="15.75" customHeight="1" s="39"/>
    <row r="557" ht="15.75" customHeight="1" s="39"/>
    <row r="558" ht="15.75" customHeight="1" s="39"/>
    <row r="559" ht="15.75" customHeight="1" s="39"/>
    <row r="560" ht="15.75" customHeight="1" s="39"/>
    <row r="561" ht="15.75" customHeight="1" s="39"/>
    <row r="562" ht="15.75" customHeight="1" s="39"/>
    <row r="563" ht="15.75" customHeight="1" s="39"/>
    <row r="564" ht="15.75" customHeight="1" s="39"/>
    <row r="565" ht="15.75" customHeight="1" s="39"/>
    <row r="566" ht="15.75" customHeight="1" s="39"/>
    <row r="567" ht="15.75" customHeight="1" s="39"/>
    <row r="568" ht="15.75" customHeight="1" s="39"/>
    <row r="569" ht="15.75" customHeight="1" s="39"/>
    <row r="570" ht="15.75" customHeight="1" s="39"/>
    <row r="571" ht="15.75" customHeight="1" s="39"/>
    <row r="572" ht="15.75" customHeight="1" s="39"/>
    <row r="573" ht="15.75" customHeight="1" s="39"/>
    <row r="574" ht="15.75" customHeight="1" s="39"/>
    <row r="575" ht="15.75" customHeight="1" s="39"/>
    <row r="576" ht="15.75" customHeight="1" s="39"/>
    <row r="577" ht="15.75" customHeight="1" s="39"/>
    <row r="578" ht="15.75" customHeight="1" s="39"/>
    <row r="579" ht="15.75" customHeight="1" s="39"/>
    <row r="580" ht="15.75" customHeight="1" s="39"/>
    <row r="581" ht="15.75" customHeight="1" s="39"/>
    <row r="582" ht="15.75" customHeight="1" s="39"/>
    <row r="583" ht="15.75" customHeight="1" s="39"/>
    <row r="584" ht="15.75" customHeight="1" s="39"/>
    <row r="585" ht="15.75" customHeight="1" s="39"/>
    <row r="586" ht="15.75" customHeight="1" s="39"/>
    <row r="587" ht="15.75" customHeight="1" s="39"/>
    <row r="588" ht="15.75" customHeight="1" s="39"/>
    <row r="589" ht="15.75" customHeight="1" s="39"/>
    <row r="590" ht="15.75" customHeight="1" s="39"/>
    <row r="591" ht="15.75" customHeight="1" s="39"/>
    <row r="592" ht="15.75" customHeight="1" s="39"/>
    <row r="593" ht="15.75" customHeight="1" s="39"/>
    <row r="594" ht="15.75" customHeight="1" s="39"/>
    <row r="595" ht="15.75" customHeight="1" s="39"/>
    <row r="596" ht="15.75" customHeight="1" s="39"/>
    <row r="597" ht="15.75" customHeight="1" s="39"/>
    <row r="598" ht="15.75" customHeight="1" s="39"/>
    <row r="599" ht="15.75" customHeight="1" s="39"/>
    <row r="600" ht="15.75" customHeight="1" s="39"/>
    <row r="601" ht="15.75" customHeight="1" s="39"/>
    <row r="602" ht="15.75" customHeight="1" s="39"/>
    <row r="603" ht="15.75" customHeight="1" s="39"/>
    <row r="604" ht="15.75" customHeight="1" s="39"/>
    <row r="605" ht="15.75" customHeight="1" s="39"/>
    <row r="606" ht="15.75" customHeight="1" s="39"/>
    <row r="607" ht="15.75" customHeight="1" s="39"/>
    <row r="608" ht="15.75" customHeight="1" s="39"/>
    <row r="609" ht="15.75" customHeight="1" s="39"/>
    <row r="610" ht="15.75" customHeight="1" s="39"/>
    <row r="611" ht="15.75" customHeight="1" s="39"/>
    <row r="612" ht="15.75" customHeight="1" s="39"/>
    <row r="613" ht="15.75" customHeight="1" s="39"/>
    <row r="614" ht="15.75" customHeight="1" s="39"/>
    <row r="615" ht="15.75" customHeight="1" s="39"/>
    <row r="616" ht="15.75" customHeight="1" s="39"/>
    <row r="617" ht="15.75" customHeight="1" s="39"/>
    <row r="618" ht="15.75" customHeight="1" s="39"/>
    <row r="619" ht="15.75" customHeight="1" s="39"/>
    <row r="620" ht="15.75" customHeight="1" s="39"/>
    <row r="621" ht="15.75" customHeight="1" s="39"/>
    <row r="622" ht="15.75" customHeight="1" s="39"/>
    <row r="623" ht="15.75" customHeight="1" s="39"/>
    <row r="624" ht="15.75" customHeight="1" s="39"/>
    <row r="625" ht="15.75" customHeight="1" s="39"/>
    <row r="626" ht="15.75" customHeight="1" s="39"/>
    <row r="627" ht="15.75" customHeight="1" s="39"/>
    <row r="628" ht="15.75" customHeight="1" s="39"/>
    <row r="629" ht="15.75" customHeight="1" s="39"/>
    <row r="630" ht="15.75" customHeight="1" s="39"/>
    <row r="631" ht="15.75" customHeight="1" s="39"/>
    <row r="632" ht="15.75" customHeight="1" s="39"/>
    <row r="633" ht="15.75" customHeight="1" s="39"/>
    <row r="634" ht="15.75" customHeight="1" s="39"/>
    <row r="635" ht="15.75" customHeight="1" s="39"/>
    <row r="636" ht="15.75" customHeight="1" s="39"/>
    <row r="637" ht="15.75" customHeight="1" s="39"/>
    <row r="638" ht="15.75" customHeight="1" s="39"/>
    <row r="639" ht="15.75" customHeight="1" s="39"/>
    <row r="640" ht="15.75" customHeight="1" s="39"/>
    <row r="641" ht="15.75" customHeight="1" s="39"/>
    <row r="642" ht="15.75" customHeight="1" s="39"/>
    <row r="643" ht="15.75" customHeight="1" s="39"/>
    <row r="644" ht="15.75" customHeight="1" s="39"/>
    <row r="645" ht="15.75" customHeight="1" s="39"/>
    <row r="646" ht="15.75" customHeight="1" s="39"/>
    <row r="647" ht="15.75" customHeight="1" s="39"/>
    <row r="648" ht="15.75" customHeight="1" s="39"/>
    <row r="649" ht="15.75" customHeight="1" s="39"/>
    <row r="650" ht="15.75" customHeight="1" s="39"/>
    <row r="651" ht="15.75" customHeight="1" s="39"/>
    <row r="652" ht="15.75" customHeight="1" s="39"/>
    <row r="653" ht="15.75" customHeight="1" s="39"/>
    <row r="654" ht="15.75" customHeight="1" s="39"/>
    <row r="655" ht="15.75" customHeight="1" s="39"/>
    <row r="656" ht="15.75" customHeight="1" s="39"/>
    <row r="657" ht="15.75" customHeight="1" s="39"/>
    <row r="658" ht="15.75" customHeight="1" s="39"/>
    <row r="659" ht="15.75" customHeight="1" s="39"/>
    <row r="660" ht="15.75" customHeight="1" s="39"/>
    <row r="661" ht="15.75" customHeight="1" s="39"/>
    <row r="662" ht="15.75" customHeight="1" s="39"/>
    <row r="663" ht="15.75" customHeight="1" s="39"/>
    <row r="664" ht="15.75" customHeight="1" s="39"/>
    <row r="665" ht="15.75" customHeight="1" s="39"/>
    <row r="666" ht="15.75" customHeight="1" s="39"/>
    <row r="667" ht="15.75" customHeight="1" s="39"/>
    <row r="668" ht="15.75" customHeight="1" s="39"/>
    <row r="669" ht="15.75" customHeight="1" s="39"/>
    <row r="670" ht="15.75" customHeight="1" s="39"/>
    <row r="671" ht="15.75" customHeight="1" s="39"/>
    <row r="672" ht="15.75" customHeight="1" s="39"/>
    <row r="673" ht="15.75" customHeight="1" s="39"/>
    <row r="674" ht="15.75" customHeight="1" s="39"/>
    <row r="675" ht="15.75" customHeight="1" s="39"/>
    <row r="676" ht="15.75" customHeight="1" s="39"/>
    <row r="677" ht="15.75" customHeight="1" s="39"/>
    <row r="678" ht="15.75" customHeight="1" s="39"/>
    <row r="679" ht="15.75" customHeight="1" s="39"/>
    <row r="680" ht="15.75" customHeight="1" s="39"/>
    <row r="681" ht="15.75" customHeight="1" s="39"/>
    <row r="682" ht="15.75" customHeight="1" s="39"/>
    <row r="683" ht="15.75" customHeight="1" s="39"/>
    <row r="684" ht="15.75" customHeight="1" s="39"/>
    <row r="685" ht="15.75" customHeight="1" s="39"/>
    <row r="686" ht="15.75" customHeight="1" s="39"/>
    <row r="687" ht="15.75" customHeight="1" s="39"/>
    <row r="688" ht="15.75" customHeight="1" s="39"/>
    <row r="689" ht="15.75" customHeight="1" s="39"/>
    <row r="690" ht="15.75" customHeight="1" s="39"/>
    <row r="691" ht="15.75" customHeight="1" s="39"/>
    <row r="692" ht="15.75" customHeight="1" s="39"/>
    <row r="693" ht="15.75" customHeight="1" s="39"/>
    <row r="694" ht="15.75" customHeight="1" s="39"/>
    <row r="695" ht="15.75" customHeight="1" s="39"/>
    <row r="696" ht="15.75" customHeight="1" s="39"/>
    <row r="697" ht="15.75" customHeight="1" s="39"/>
    <row r="698" ht="15.75" customHeight="1" s="39"/>
    <row r="699" ht="15.75" customHeight="1" s="39"/>
    <row r="700" ht="15.75" customHeight="1" s="39"/>
    <row r="701" ht="15.75" customHeight="1" s="39"/>
    <row r="702" ht="15.75" customHeight="1" s="39"/>
    <row r="703" ht="15.75" customHeight="1" s="39"/>
    <row r="704" ht="15.75" customHeight="1" s="39"/>
    <row r="705" ht="15.75" customHeight="1" s="39"/>
    <row r="706" ht="15.75" customHeight="1" s="39"/>
    <row r="707" ht="15.75" customHeight="1" s="39"/>
    <row r="708" ht="15.75" customHeight="1" s="39"/>
    <row r="709" ht="15.75" customHeight="1" s="39"/>
    <row r="710" ht="15.75" customHeight="1" s="39"/>
    <row r="711" ht="15.75" customHeight="1" s="39"/>
    <row r="712" ht="15.75" customHeight="1" s="39"/>
    <row r="713" ht="15.75" customHeight="1" s="39"/>
    <row r="714" ht="15.75" customHeight="1" s="39"/>
    <row r="715" ht="15.75" customHeight="1" s="39"/>
    <row r="716" ht="15.75" customHeight="1" s="39"/>
    <row r="717" ht="15.75" customHeight="1" s="39"/>
    <row r="718" ht="15.75" customHeight="1" s="39"/>
    <row r="719" ht="15.75" customHeight="1" s="39"/>
    <row r="720" ht="15.75" customHeight="1" s="39"/>
    <row r="721" ht="15.75" customHeight="1" s="39"/>
    <row r="722" ht="15.75" customHeight="1" s="39"/>
    <row r="723" ht="15.75" customHeight="1" s="39"/>
    <row r="724" ht="15.75" customHeight="1" s="39"/>
    <row r="725" ht="15.75" customHeight="1" s="39"/>
    <row r="726" ht="15.75" customHeight="1" s="39"/>
    <row r="727" ht="15.75" customHeight="1" s="39"/>
    <row r="728" ht="15.75" customHeight="1" s="39"/>
    <row r="729" ht="15.75" customHeight="1" s="39"/>
    <row r="730" ht="15.75" customHeight="1" s="39"/>
    <row r="731" ht="15.75" customHeight="1" s="39"/>
    <row r="732" ht="15.75" customHeight="1" s="39"/>
    <row r="733" ht="15.75" customHeight="1" s="39"/>
    <row r="734" ht="15.75" customHeight="1" s="39"/>
    <row r="735" ht="15.75" customHeight="1" s="39"/>
    <row r="736" ht="15.75" customHeight="1" s="39"/>
    <row r="737" ht="15.75" customHeight="1" s="39"/>
    <row r="738" ht="15.75" customHeight="1" s="39"/>
    <row r="739" ht="15.75" customHeight="1" s="39"/>
    <row r="740" ht="15.75" customHeight="1" s="39"/>
    <row r="741" ht="15.75" customHeight="1" s="39"/>
    <row r="742" ht="15.75" customHeight="1" s="39"/>
    <row r="743" ht="15.75" customHeight="1" s="39"/>
    <row r="744" ht="15.75" customHeight="1" s="39"/>
    <row r="745" ht="15.75" customHeight="1" s="39"/>
    <row r="746" ht="15.75" customHeight="1" s="39"/>
    <row r="747" ht="15.75" customHeight="1" s="39"/>
    <row r="748" ht="15.75" customHeight="1" s="39"/>
    <row r="749" ht="15.75" customHeight="1" s="39"/>
    <row r="750" ht="15.75" customHeight="1" s="39"/>
    <row r="751" ht="15.75" customHeight="1" s="39"/>
    <row r="752" ht="15.75" customHeight="1" s="39"/>
    <row r="753" ht="15.75" customHeight="1" s="39"/>
    <row r="754" ht="15.75" customHeight="1" s="39"/>
    <row r="755" ht="15.75" customHeight="1" s="39"/>
    <row r="756" ht="15.75" customHeight="1" s="39"/>
    <row r="757" ht="15.75" customHeight="1" s="39"/>
    <row r="758" ht="15.75" customHeight="1" s="39"/>
    <row r="759" ht="15.75" customHeight="1" s="39"/>
    <row r="760" ht="15.75" customHeight="1" s="39"/>
    <row r="761" ht="15.75" customHeight="1" s="39"/>
    <row r="762" ht="15.75" customHeight="1" s="39"/>
    <row r="763" ht="15.75" customHeight="1" s="39"/>
    <row r="764" ht="15.75" customHeight="1" s="39"/>
    <row r="765" ht="15.75" customHeight="1" s="39"/>
    <row r="766" ht="15.75" customHeight="1" s="39"/>
    <row r="767" ht="15.75" customHeight="1" s="39"/>
    <row r="768" ht="15.75" customHeight="1" s="39"/>
    <row r="769" ht="15.75" customHeight="1" s="39"/>
    <row r="770" ht="15.75" customHeight="1" s="39"/>
    <row r="771" ht="15.75" customHeight="1" s="39"/>
    <row r="772" ht="15.75" customHeight="1" s="39"/>
    <row r="773" ht="15.75" customHeight="1" s="39"/>
    <row r="774" ht="15.75" customHeight="1" s="39"/>
    <row r="775" ht="15.75" customHeight="1" s="39"/>
    <row r="776" ht="15.75" customHeight="1" s="39"/>
    <row r="777" ht="15.75" customHeight="1" s="39"/>
    <row r="778" ht="15.75" customHeight="1" s="39"/>
    <row r="779" ht="15.75" customHeight="1" s="39"/>
    <row r="780" ht="15.75" customHeight="1" s="39"/>
    <row r="781" ht="15.75" customHeight="1" s="39"/>
    <row r="782" ht="15.75" customHeight="1" s="39"/>
    <row r="783" ht="15.75" customHeight="1" s="39"/>
    <row r="784" ht="15.75" customHeight="1" s="39"/>
    <row r="785" ht="15.75" customHeight="1" s="39"/>
    <row r="786" ht="15.75" customHeight="1" s="39"/>
    <row r="787" ht="15.75" customHeight="1" s="39"/>
    <row r="788" ht="15.75" customHeight="1" s="39"/>
    <row r="789" ht="15.75" customHeight="1" s="39"/>
    <row r="790" ht="15.75" customHeight="1" s="39"/>
    <row r="791" ht="15.75" customHeight="1" s="39"/>
    <row r="792" ht="15.75" customHeight="1" s="39"/>
    <row r="793" ht="15.75" customHeight="1" s="39"/>
    <row r="794" ht="15.75" customHeight="1" s="39"/>
    <row r="795" ht="15.75" customHeight="1" s="39"/>
    <row r="796" ht="15.75" customHeight="1" s="39"/>
    <row r="797" ht="15.75" customHeight="1" s="39"/>
    <row r="798" ht="15.75" customHeight="1" s="39"/>
    <row r="799" ht="15.75" customHeight="1" s="39"/>
    <row r="800" ht="15.75" customHeight="1" s="39"/>
    <row r="801" ht="15.75" customHeight="1" s="39"/>
    <row r="802" ht="15.75" customHeight="1" s="39"/>
    <row r="803" ht="15.75" customHeight="1" s="39"/>
    <row r="804" ht="15.75" customHeight="1" s="39"/>
    <row r="805" ht="15.75" customHeight="1" s="39"/>
    <row r="806" ht="15.75" customHeight="1" s="39"/>
    <row r="807" ht="15.75" customHeight="1" s="39"/>
    <row r="808" ht="15.75" customHeight="1" s="39"/>
    <row r="809" ht="15.75" customHeight="1" s="39"/>
    <row r="810" ht="15.75" customHeight="1" s="39"/>
    <row r="811" ht="15.75" customHeight="1" s="39"/>
    <row r="812" ht="15.75" customHeight="1" s="39"/>
    <row r="813" ht="15.75" customHeight="1" s="39"/>
    <row r="814" ht="15.75" customHeight="1" s="39"/>
    <row r="815" ht="15.75" customHeight="1" s="39"/>
    <row r="816" ht="15.75" customHeight="1" s="39"/>
    <row r="817" ht="15.75" customHeight="1" s="39"/>
    <row r="818" ht="15.75" customHeight="1" s="39"/>
    <row r="819" ht="15.75" customHeight="1" s="39"/>
    <row r="820" ht="15.75" customHeight="1" s="39"/>
    <row r="821" ht="15.75" customHeight="1" s="39"/>
    <row r="822" ht="15.75" customHeight="1" s="39"/>
    <row r="823" ht="15.75" customHeight="1" s="39"/>
    <row r="824" ht="15.75" customHeight="1" s="39"/>
    <row r="825" ht="15.75" customHeight="1" s="39"/>
    <row r="826" ht="15.75" customHeight="1" s="39"/>
    <row r="827" ht="15.75" customHeight="1" s="39"/>
    <row r="828" ht="15.75" customHeight="1" s="39"/>
    <row r="829" ht="15.75" customHeight="1" s="39"/>
    <row r="830" ht="15.75" customHeight="1" s="39"/>
    <row r="831" ht="15.75" customHeight="1" s="39"/>
    <row r="832" ht="15.75" customHeight="1" s="39"/>
    <row r="833" ht="15.75" customHeight="1" s="39"/>
    <row r="834" ht="15.75" customHeight="1" s="39"/>
    <row r="835" ht="15.75" customHeight="1" s="39"/>
    <row r="836" ht="15.75" customHeight="1" s="39"/>
    <row r="837" ht="15.75" customHeight="1" s="39"/>
    <row r="838" ht="15.75" customHeight="1" s="39"/>
    <row r="839" ht="15.75" customHeight="1" s="39"/>
    <row r="840" ht="15.75" customHeight="1" s="39"/>
    <row r="841" ht="15.75" customHeight="1" s="39"/>
    <row r="842" ht="15.75" customHeight="1" s="39"/>
    <row r="843" ht="15.75" customHeight="1" s="39"/>
    <row r="844" ht="15.75" customHeight="1" s="39"/>
    <row r="845" ht="15.75" customHeight="1" s="39"/>
    <row r="846" ht="15.75" customHeight="1" s="39"/>
    <row r="847" ht="15.75" customHeight="1" s="39"/>
    <row r="848" ht="15.75" customHeight="1" s="39"/>
    <row r="849" ht="15.75" customHeight="1" s="39"/>
    <row r="850" ht="15.75" customHeight="1" s="39"/>
    <row r="851" ht="15.75" customHeight="1" s="39"/>
    <row r="852" ht="15.75" customHeight="1" s="39"/>
    <row r="853" ht="15.75" customHeight="1" s="39"/>
    <row r="854" ht="15.75" customHeight="1" s="39"/>
    <row r="855" ht="15.75" customHeight="1" s="39"/>
    <row r="856" ht="15.75" customHeight="1" s="39"/>
    <row r="857" ht="15.75" customHeight="1" s="39"/>
    <row r="858" ht="15.75" customHeight="1" s="39"/>
    <row r="859" ht="15.75" customHeight="1" s="39"/>
    <row r="860" ht="15.75" customHeight="1" s="39"/>
    <row r="861" ht="15.75" customHeight="1" s="39"/>
    <row r="862" ht="15.75" customHeight="1" s="39"/>
    <row r="863" ht="15.75" customHeight="1" s="39"/>
    <row r="864" ht="15.75" customHeight="1" s="39"/>
    <row r="865" ht="15.75" customHeight="1" s="39"/>
    <row r="866" ht="15.75" customHeight="1" s="39"/>
    <row r="867" ht="15.75" customHeight="1" s="39"/>
    <row r="868" ht="15.75" customHeight="1" s="39"/>
    <row r="869" ht="15.75" customHeight="1" s="39"/>
    <row r="870" ht="15.75" customHeight="1" s="39"/>
    <row r="871" ht="15.75" customHeight="1" s="39"/>
    <row r="872" ht="15.75" customHeight="1" s="39"/>
    <row r="873" ht="15.75" customHeight="1" s="39"/>
    <row r="874" ht="15.75" customHeight="1" s="39"/>
    <row r="875" ht="15.75" customHeight="1" s="39"/>
    <row r="876" ht="15.75" customHeight="1" s="39"/>
    <row r="877" ht="15.75" customHeight="1" s="39"/>
    <row r="878" ht="15.75" customHeight="1" s="39"/>
    <row r="879" ht="15.75" customHeight="1" s="39"/>
    <row r="880" ht="15.75" customHeight="1" s="39"/>
    <row r="881" ht="15.75" customHeight="1" s="39"/>
    <row r="882" ht="15.75" customHeight="1" s="39"/>
    <row r="883" ht="15.75" customHeight="1" s="39"/>
    <row r="884" ht="15.75" customHeight="1" s="39"/>
    <row r="885" ht="15.75" customHeight="1" s="39"/>
    <row r="886" ht="15.75" customHeight="1" s="39"/>
    <row r="887" ht="15.75" customHeight="1" s="39"/>
    <row r="888" ht="15.75" customHeight="1" s="39"/>
    <row r="889" ht="15.75" customHeight="1" s="39"/>
    <row r="890" ht="15.75" customHeight="1" s="39"/>
    <row r="891" ht="15.75" customHeight="1" s="39"/>
    <row r="892" ht="15.75" customHeight="1" s="39"/>
    <row r="893" ht="15.75" customHeight="1" s="39"/>
    <row r="894" ht="15.75" customHeight="1" s="39"/>
    <row r="895" ht="15.75" customHeight="1" s="39"/>
    <row r="896" ht="15.75" customHeight="1" s="39"/>
    <row r="897" ht="15.75" customHeight="1" s="39"/>
    <row r="898" ht="15.75" customHeight="1" s="39"/>
    <row r="899" ht="15.75" customHeight="1" s="39"/>
    <row r="900" ht="15.75" customHeight="1" s="39"/>
    <row r="901" ht="15.75" customHeight="1" s="39"/>
    <row r="902" ht="15.75" customHeight="1" s="39"/>
    <row r="903" ht="15.75" customHeight="1" s="39"/>
    <row r="904" ht="15.75" customHeight="1" s="39"/>
    <row r="905" ht="15.75" customHeight="1" s="39"/>
    <row r="906" ht="15.75" customHeight="1" s="39"/>
    <row r="907" ht="15.75" customHeight="1" s="39"/>
    <row r="908" ht="15.75" customHeight="1" s="39"/>
    <row r="909" ht="15.75" customHeight="1" s="39"/>
    <row r="910" ht="15.75" customHeight="1" s="39"/>
    <row r="911" ht="15.75" customHeight="1" s="39"/>
    <row r="912" ht="15.75" customHeight="1" s="39"/>
    <row r="913" ht="15.75" customHeight="1" s="39"/>
    <row r="914" ht="15.75" customHeight="1" s="39"/>
    <row r="915" ht="15.75" customHeight="1" s="39"/>
    <row r="916" ht="15.75" customHeight="1" s="39"/>
    <row r="917" ht="15.75" customHeight="1" s="39"/>
    <row r="918" ht="15.75" customHeight="1" s="39"/>
    <row r="919" ht="15.75" customHeight="1" s="39"/>
    <row r="920" ht="15.75" customHeight="1" s="39"/>
    <row r="921" ht="15.75" customHeight="1" s="39"/>
    <row r="922" ht="15.75" customHeight="1" s="39"/>
    <row r="923" ht="15.75" customHeight="1" s="39"/>
    <row r="924" ht="15.75" customHeight="1" s="39"/>
    <row r="925" ht="15.75" customHeight="1" s="39"/>
    <row r="926" ht="15.75" customHeight="1" s="39"/>
    <row r="927" ht="15.75" customHeight="1" s="39"/>
    <row r="928" ht="15.75" customHeight="1" s="39"/>
    <row r="929" ht="15.75" customHeight="1" s="39"/>
    <row r="930" ht="15.75" customHeight="1" s="39"/>
    <row r="931" ht="15.75" customHeight="1" s="39"/>
    <row r="932" ht="15.75" customHeight="1" s="39"/>
    <row r="933" ht="15.75" customHeight="1" s="39"/>
    <row r="934" ht="15.75" customHeight="1" s="39"/>
    <row r="935" ht="15.75" customHeight="1" s="39"/>
    <row r="936" ht="15.75" customHeight="1" s="39"/>
    <row r="937" ht="15.75" customHeight="1" s="39"/>
    <row r="938" ht="15.75" customHeight="1" s="39"/>
    <row r="939" ht="15.75" customHeight="1" s="39"/>
    <row r="940" ht="15.75" customHeight="1" s="39"/>
    <row r="941" ht="15.75" customHeight="1" s="39"/>
    <row r="942" ht="15.75" customHeight="1" s="39"/>
    <row r="943" ht="15.75" customHeight="1" s="39"/>
    <row r="944" ht="15.75" customHeight="1" s="39"/>
    <row r="945" ht="15.75" customHeight="1" s="39"/>
    <row r="946" ht="15.75" customHeight="1" s="39"/>
    <row r="947" ht="15.75" customHeight="1" s="39"/>
    <row r="948" ht="15.75" customHeight="1" s="39"/>
    <row r="949" ht="15.75" customHeight="1" s="39"/>
    <row r="950" ht="15.75" customHeight="1" s="39"/>
    <row r="951" ht="15.75" customHeight="1" s="39"/>
    <row r="952" ht="15.75" customHeight="1" s="39"/>
    <row r="953" ht="15.75" customHeight="1" s="39"/>
    <row r="954" ht="15.75" customHeight="1" s="39"/>
    <row r="955" ht="15.75" customHeight="1" s="39"/>
    <row r="956" ht="15.75" customHeight="1" s="39"/>
    <row r="957" ht="15.75" customHeight="1" s="39"/>
    <row r="958" ht="15.75" customHeight="1" s="39"/>
    <row r="959" ht="15.75" customHeight="1" s="39"/>
    <row r="960" ht="15.75" customHeight="1" s="39"/>
    <row r="961" ht="15.75" customHeight="1" s="39"/>
    <row r="962" ht="15.75" customHeight="1" s="39"/>
    <row r="963" ht="15.75" customHeight="1" s="39"/>
    <row r="964" ht="15.75" customHeight="1" s="39"/>
    <row r="965" ht="15.75" customHeight="1" s="39"/>
    <row r="966" ht="15.75" customHeight="1" s="39"/>
    <row r="967" ht="15.75" customHeight="1" s="39"/>
    <row r="968" ht="15.75" customHeight="1" s="39"/>
    <row r="969" ht="15.75" customHeight="1" s="39"/>
    <row r="970" ht="15.75" customHeight="1" s="39"/>
    <row r="971" ht="15.75" customHeight="1" s="39"/>
    <row r="972" ht="15.75" customHeight="1" s="39"/>
    <row r="973" ht="15.75" customHeight="1" s="39"/>
    <row r="974" ht="15.75" customHeight="1" s="39"/>
    <row r="975" ht="15.75" customHeight="1" s="39"/>
    <row r="976" ht="15.75" customHeight="1" s="39"/>
    <row r="977" ht="15.75" customHeight="1" s="39"/>
    <row r="978" ht="15.75" customHeight="1" s="39"/>
    <row r="979" ht="15.75" customHeight="1" s="39"/>
    <row r="980" ht="15.75" customHeight="1" s="39"/>
    <row r="981" ht="15.75" customHeight="1" s="39"/>
    <row r="982" ht="15.75" customHeight="1" s="39"/>
    <row r="983" ht="15.75" customHeight="1" s="39"/>
    <row r="984" ht="15.75" customHeight="1" s="39"/>
    <row r="985" ht="15.75" customHeight="1" s="39"/>
    <row r="986" ht="15.75" customHeight="1" s="39"/>
    <row r="987" ht="15.75" customHeight="1" s="39"/>
    <row r="988" ht="15.75" customHeight="1" s="39"/>
    <row r="989" ht="15.75" customHeight="1" s="39"/>
    <row r="990" ht="15.75" customHeight="1" s="39"/>
    <row r="991" ht="15.75" customHeight="1" s="39"/>
    <row r="992" ht="15.75" customHeight="1" s="39"/>
    <row r="993" ht="15.75" customHeight="1" s="39"/>
    <row r="994" ht="15.75" customHeight="1" s="39"/>
    <row r="995" ht="15.75" customHeight="1" s="39"/>
    <row r="996" ht="15.75" customHeight="1" s="39"/>
    <row r="997" ht="15.75" customHeight="1" s="39"/>
    <row r="998" ht="15.75" customHeight="1" s="39"/>
    <row r="999" ht="15.75" customHeight="1" s="39"/>
    <row r="1000" ht="15.75" customHeight="1" s="39"/>
  </sheetData>
  <mergeCells count="1">
    <mergeCell ref="A2:G2"/>
  </mergeCells>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G50"/>
  <sheetViews>
    <sheetView workbookViewId="0">
      <pane ySplit="4" topLeftCell="A5" activePane="bottomLeft" state="frozen"/>
      <selection pane="bottomLeft" activeCell="B6" sqref="B6"/>
    </sheetView>
  </sheetViews>
  <sheetFormatPr baseColWidth="8" defaultColWidth="14.43" defaultRowHeight="15" customHeight="1"/>
  <cols>
    <col width="14" customWidth="1" style="39" min="1" max="1"/>
    <col width="32" customWidth="1" style="39" min="2" max="2"/>
    <col width="14" customWidth="1" style="39" min="3" max="6"/>
    <col width="22" customWidth="1" style="39" min="7" max="7"/>
    <col width="8.710000000000001" customWidth="1" style="39" min="8" max="26"/>
  </cols>
  <sheetData>
    <row r="1">
      <c r="A1" s="16" t="inlineStr">
        <is>
          <t>Imports — Savings</t>
        </is>
      </c>
    </row>
    <row r="2">
      <c r="A2" s="4" t="inlineStr">
        <is>
          <t>Paste Capital One Savings CSV here.</t>
        </is>
      </c>
    </row>
    <row r="4">
      <c r="A4" s="5" t="inlineStr">
        <is>
          <t>Account Number</t>
        </is>
      </c>
      <c r="B4" s="5" t="inlineStr">
        <is>
          <t>Transaction Description</t>
        </is>
      </c>
      <c r="C4" s="5" t="inlineStr">
        <is>
          <t>Transaction Date</t>
        </is>
      </c>
      <c r="D4" s="5" t="inlineStr">
        <is>
          <t>Transaction Type</t>
        </is>
      </c>
      <c r="E4" s="5" t="inlineStr">
        <is>
          <t>Transaction Amount</t>
        </is>
      </c>
      <c r="F4" s="5" t="inlineStr">
        <is>
          <t>Balance</t>
        </is>
      </c>
      <c r="G4" s="5" t="inlineStr">
        <is>
          <t>→ Category (auto)</t>
        </is>
      </c>
    </row>
    <row r="5">
      <c r="A5" s="32" t="n"/>
      <c r="B5" s="33" t="n"/>
      <c r="C5" s="34" t="n"/>
      <c r="D5" s="33" t="n"/>
      <c r="E5" s="32" t="n"/>
      <c r="F5" s="32" t="n"/>
      <c r="G5" s="10" t="n"/>
    </row>
    <row r="6">
      <c r="A6" s="32" t="n"/>
      <c r="B6" s="33" t="n"/>
      <c r="C6" s="34" t="n"/>
      <c r="D6" s="33" t="n"/>
      <c r="E6" s="32" t="n"/>
      <c r="F6" s="32" t="n"/>
      <c r="G6" s="10" t="n"/>
    </row>
    <row r="7">
      <c r="A7" s="32" t="n"/>
      <c r="B7" s="33" t="n"/>
      <c r="C7" s="34" t="n"/>
      <c r="D7" s="33" t="n"/>
      <c r="E7" s="32" t="n"/>
      <c r="F7" s="32" t="n"/>
      <c r="G7" s="10" t="n"/>
    </row>
    <row r="8">
      <c r="A8" s="32" t="n"/>
      <c r="B8" s="33" t="n"/>
      <c r="C8" s="34" t="n"/>
      <c r="D8" s="33" t="n"/>
      <c r="E8" s="32" t="n"/>
      <c r="F8" s="32" t="n"/>
      <c r="G8" s="10" t="n"/>
    </row>
    <row r="9">
      <c r="A9" s="32" t="n"/>
      <c r="B9" s="33" t="n"/>
      <c r="C9" s="34" t="n"/>
      <c r="D9" s="33" t="n"/>
      <c r="E9" s="32" t="n"/>
      <c r="F9" s="32" t="n"/>
      <c r="G9" s="10" t="n"/>
    </row>
    <row r="10">
      <c r="A10" s="32" t="n"/>
      <c r="B10" s="33" t="n"/>
      <c r="C10" s="34" t="n"/>
      <c r="D10" s="33" t="n"/>
      <c r="E10" s="32" t="n"/>
      <c r="F10" s="32" t="n"/>
      <c r="G10" s="10" t="n"/>
    </row>
    <row r="11">
      <c r="A11" s="32" t="n"/>
      <c r="B11" s="33" t="n"/>
      <c r="C11" s="34" t="n"/>
      <c r="D11" s="33" t="n"/>
      <c r="E11" s="32" t="n"/>
      <c r="F11" s="32" t="n"/>
      <c r="G11" s="10" t="n"/>
    </row>
    <row r="12">
      <c r="A12" s="32" t="n"/>
      <c r="B12" s="33" t="n"/>
      <c r="C12" s="34" t="n"/>
      <c r="D12" s="33" t="n"/>
      <c r="E12" s="32" t="n"/>
      <c r="F12" s="32" t="n"/>
      <c r="G12" s="10" t="n"/>
    </row>
    <row r="13">
      <c r="A13" s="32" t="n"/>
      <c r="B13" s="33" t="n"/>
      <c r="C13" s="34" t="n"/>
      <c r="D13" s="33" t="n"/>
      <c r="E13" s="32" t="n"/>
      <c r="F13" s="32" t="n"/>
      <c r="G13" s="10" t="n"/>
    </row>
    <row r="14">
      <c r="A14" s="32" t="n"/>
      <c r="B14" s="33" t="n"/>
      <c r="C14" s="34" t="n"/>
      <c r="D14" s="33" t="n"/>
      <c r="E14" s="32" t="n"/>
      <c r="F14" s="32" t="n"/>
      <c r="G14" s="10" t="n"/>
    </row>
    <row r="15">
      <c r="A15" s="32" t="n"/>
      <c r="B15" s="33" t="n"/>
      <c r="C15" s="34" t="n"/>
      <c r="D15" s="33" t="n"/>
      <c r="E15" s="32" t="n"/>
      <c r="F15" s="32" t="n"/>
      <c r="G15" s="10" t="n"/>
    </row>
    <row r="16">
      <c r="A16" s="32" t="n"/>
      <c r="B16" s="33" t="n"/>
      <c r="C16" s="34" t="n"/>
      <c r="D16" s="33" t="n"/>
      <c r="E16" s="32" t="n"/>
      <c r="F16" s="32" t="n"/>
      <c r="G16" s="10" t="n"/>
    </row>
    <row r="17">
      <c r="A17" s="32" t="n"/>
      <c r="B17" s="33" t="n"/>
      <c r="C17" s="34" t="n"/>
      <c r="D17" s="33" t="n"/>
      <c r="E17" s="32" t="n"/>
      <c r="F17" s="32" t="n"/>
      <c r="G17" s="10" t="n"/>
    </row>
    <row r="18">
      <c r="A18" s="32" t="n"/>
      <c r="B18" s="33" t="n"/>
      <c r="C18" s="34" t="n"/>
      <c r="D18" s="33" t="n"/>
      <c r="E18" s="32" t="n"/>
      <c r="F18" s="32" t="n"/>
      <c r="G18" s="10" t="n"/>
    </row>
    <row r="19">
      <c r="A19" s="32" t="n"/>
      <c r="B19" s="33" t="n"/>
      <c r="C19" s="34" t="n"/>
      <c r="D19" s="33" t="n"/>
      <c r="E19" s="32" t="n"/>
      <c r="F19" s="32" t="n"/>
      <c r="G19" s="10" t="n"/>
    </row>
    <row r="20">
      <c r="A20" s="32" t="n"/>
      <c r="B20" s="33" t="n"/>
      <c r="C20" s="34" t="n"/>
      <c r="D20" s="33" t="n"/>
      <c r="E20" s="32" t="n"/>
      <c r="F20" s="32" t="n"/>
      <c r="G20" s="10" t="n"/>
    </row>
    <row r="21" ht="15.75" customHeight="1" s="39">
      <c r="A21" s="32" t="n"/>
      <c r="B21" s="33" t="n"/>
      <c r="C21" s="34" t="n"/>
      <c r="D21" s="33" t="n"/>
      <c r="E21" s="32" t="n"/>
      <c r="F21" s="32" t="n"/>
      <c r="G21" s="10" t="n"/>
    </row>
    <row r="22" ht="15.75" customHeight="1" s="39">
      <c r="A22" s="32" t="n"/>
      <c r="B22" s="33" t="n"/>
      <c r="C22" s="34" t="n"/>
      <c r="D22" s="33" t="n"/>
      <c r="E22" s="32" t="n"/>
      <c r="F22" s="32" t="n"/>
      <c r="G22" s="10" t="n"/>
    </row>
    <row r="23" ht="15.75" customHeight="1" s="39">
      <c r="A23" s="32" t="n"/>
      <c r="B23" s="33" t="n"/>
      <c r="C23" s="34" t="n"/>
      <c r="D23" s="33" t="n"/>
      <c r="E23" s="32" t="n"/>
      <c r="F23" s="32" t="n"/>
      <c r="G23" s="10" t="n"/>
    </row>
    <row r="24" ht="15.75" customHeight="1" s="39">
      <c r="A24" s="32" t="n"/>
      <c r="B24" s="33" t="n"/>
      <c r="C24" s="34" t="n"/>
      <c r="D24" s="33" t="n"/>
      <c r="E24" s="32" t="n"/>
      <c r="F24" s="32" t="n"/>
      <c r="G24" s="10" t="n"/>
    </row>
    <row r="25" ht="15.75" customHeight="1" s="39">
      <c r="A25" s="32" t="n"/>
      <c r="B25" s="33" t="n"/>
      <c r="C25" s="34" t="n"/>
      <c r="D25" s="33" t="n"/>
      <c r="E25" s="32" t="n"/>
      <c r="F25" s="32" t="n"/>
      <c r="G25" s="10" t="n"/>
    </row>
    <row r="26" ht="15.75" customHeight="1" s="39">
      <c r="A26" s="32" t="n"/>
      <c r="B26" s="33" t="n"/>
      <c r="C26" s="34" t="n"/>
      <c r="D26" s="33" t="n"/>
      <c r="E26" s="32" t="n"/>
      <c r="F26" s="32" t="n"/>
      <c r="G26" s="10" t="n"/>
    </row>
    <row r="27" ht="15.75" customHeight="1" s="39">
      <c r="A27" s="32" t="n"/>
      <c r="B27" s="33" t="n"/>
      <c r="C27" s="34" t="n"/>
      <c r="D27" s="33" t="n"/>
      <c r="E27" s="32" t="n"/>
      <c r="F27" s="32" t="n"/>
      <c r="G27" s="10" t="n"/>
    </row>
    <row r="28" ht="15.75" customHeight="1" s="39">
      <c r="A28" s="32" t="n"/>
      <c r="B28" s="33" t="n"/>
      <c r="C28" s="34" t="n"/>
      <c r="D28" s="33" t="n"/>
      <c r="E28" s="32" t="n"/>
      <c r="F28" s="32" t="n"/>
      <c r="G28" s="10" t="n"/>
    </row>
    <row r="29" ht="15.75" customHeight="1" s="39">
      <c r="A29" s="32" t="n"/>
      <c r="B29" s="33" t="n"/>
      <c r="C29" s="34" t="n"/>
      <c r="D29" s="33" t="n"/>
      <c r="E29" s="32" t="n"/>
      <c r="F29" s="32" t="n"/>
      <c r="G29" s="10" t="n"/>
    </row>
    <row r="30" ht="15.75" customHeight="1" s="39">
      <c r="A30" s="32" t="n"/>
      <c r="B30" s="33" t="n"/>
      <c r="C30" s="34" t="n"/>
      <c r="D30" s="33" t="n"/>
      <c r="E30" s="32" t="n"/>
      <c r="F30" s="32" t="n"/>
      <c r="G30" s="10" t="n"/>
    </row>
    <row r="31" ht="15.75" customHeight="1" s="39">
      <c r="A31" s="32" t="n"/>
      <c r="B31" s="33" t="n"/>
      <c r="C31" s="34" t="n"/>
      <c r="D31" s="33" t="n"/>
      <c r="E31" s="32" t="n"/>
      <c r="F31" s="32" t="n"/>
      <c r="G31" s="10" t="n"/>
    </row>
    <row r="32" ht="15.75" customHeight="1" s="39">
      <c r="A32" s="32" t="n"/>
      <c r="B32" s="33" t="n"/>
      <c r="C32" s="34" t="n"/>
      <c r="D32" s="33" t="n"/>
      <c r="E32" s="32" t="n"/>
      <c r="F32" s="32" t="n"/>
      <c r="G32" s="10" t="n"/>
    </row>
    <row r="33" ht="15.75" customHeight="1" s="39">
      <c r="A33" s="32" t="n"/>
      <c r="B33" s="33" t="n"/>
      <c r="C33" s="34" t="n"/>
      <c r="D33" s="33" t="n"/>
      <c r="E33" s="32" t="n"/>
      <c r="F33" s="32" t="n"/>
      <c r="G33" s="10" t="n"/>
    </row>
    <row r="34" ht="15.75" customHeight="1" s="39">
      <c r="A34" s="32" t="n"/>
      <c r="B34" s="33" t="n"/>
      <c r="C34" s="34" t="n"/>
      <c r="D34" s="33" t="n"/>
      <c r="E34" s="32" t="n"/>
      <c r="F34" s="32" t="n"/>
      <c r="G34" s="10" t="n"/>
    </row>
    <row r="35" ht="15.75" customHeight="1" s="39">
      <c r="A35" s="32" t="n"/>
      <c r="B35" s="33" t="n"/>
      <c r="C35" s="34" t="n"/>
      <c r="D35" s="33" t="n"/>
      <c r="E35" s="32" t="n"/>
      <c r="F35" s="32" t="n"/>
      <c r="G35" s="10" t="n"/>
    </row>
    <row r="36" ht="15.75" customHeight="1" s="39">
      <c r="A36" s="32" t="n"/>
      <c r="B36" s="33" t="n"/>
      <c r="C36" s="34" t="n"/>
      <c r="D36" s="33" t="n"/>
      <c r="E36" s="32" t="n"/>
      <c r="F36" s="32" t="n"/>
      <c r="G36" s="10" t="n"/>
    </row>
    <row r="37" ht="15.75" customHeight="1" s="39">
      <c r="A37" s="32" t="n"/>
      <c r="B37" s="33" t="n"/>
      <c r="C37" s="34" t="n"/>
      <c r="D37" s="33" t="n"/>
      <c r="E37" s="32" t="n"/>
      <c r="F37" s="32" t="n"/>
      <c r="G37" s="10" t="n"/>
    </row>
    <row r="38" ht="15.75" customHeight="1" s="39">
      <c r="A38" s="32" t="n"/>
      <c r="B38" s="33" t="n"/>
      <c r="C38" s="34" t="n"/>
      <c r="D38" s="33" t="n"/>
      <c r="E38" s="32" t="n"/>
      <c r="F38" s="32" t="n"/>
      <c r="G38" s="10" t="n"/>
    </row>
    <row r="39" ht="15.75" customHeight="1" s="39">
      <c r="A39" s="32" t="n"/>
      <c r="B39" s="33" t="n"/>
      <c r="C39" s="34" t="n"/>
      <c r="D39" s="33" t="n"/>
      <c r="E39" s="32" t="n"/>
      <c r="F39" s="32" t="n"/>
      <c r="G39" s="10" t="n"/>
    </row>
    <row r="40" ht="15.75" customHeight="1" s="39">
      <c r="A40" s="32" t="n"/>
      <c r="B40" s="33" t="n"/>
      <c r="C40" s="34" t="n"/>
      <c r="D40" s="33" t="n"/>
      <c r="E40" s="32" t="n"/>
      <c r="F40" s="32" t="n"/>
      <c r="G40" s="10" t="n"/>
    </row>
    <row r="41" ht="15.75" customHeight="1" s="39">
      <c r="A41" s="32" t="n"/>
      <c r="B41" s="33" t="n"/>
      <c r="C41" s="34" t="n"/>
      <c r="D41" s="33" t="n"/>
      <c r="E41" s="32" t="n"/>
      <c r="F41" s="32" t="n"/>
      <c r="G41" s="10" t="n"/>
    </row>
    <row r="42" ht="15.75" customHeight="1" s="39">
      <c r="A42" s="32" t="n"/>
      <c r="B42" s="33" t="n"/>
      <c r="C42" s="34" t="n"/>
      <c r="D42" s="33" t="n"/>
      <c r="E42" s="32" t="n"/>
      <c r="F42" s="32" t="n"/>
      <c r="G42" s="10" t="n"/>
    </row>
    <row r="43" ht="15.75" customHeight="1" s="39">
      <c r="A43" s="32" t="n"/>
      <c r="B43" s="33" t="n"/>
      <c r="C43" s="34" t="n"/>
      <c r="D43" s="33" t="n"/>
      <c r="E43" s="32" t="n"/>
      <c r="F43" s="32" t="n"/>
      <c r="G43" s="10" t="n"/>
    </row>
    <row r="44" ht="15.75" customHeight="1" s="39">
      <c r="A44" s="32" t="n"/>
      <c r="B44" s="33" t="n"/>
      <c r="C44" s="34" t="n"/>
      <c r="D44" s="33" t="n"/>
      <c r="E44" s="32" t="n"/>
      <c r="F44" s="32" t="n"/>
      <c r="G44" s="10" t="n"/>
    </row>
    <row r="45" ht="15.75" customHeight="1" s="39">
      <c r="A45" s="32" t="n"/>
      <c r="B45" s="33" t="n"/>
      <c r="C45" s="34" t="n"/>
      <c r="D45" s="33" t="n"/>
      <c r="E45" s="32" t="n"/>
      <c r="F45" s="32" t="n"/>
      <c r="G45" s="10" t="n"/>
    </row>
    <row r="46" ht="15.75" customHeight="1" s="39">
      <c r="A46" s="32" t="n"/>
      <c r="B46" s="33" t="n"/>
      <c r="C46" s="34" t="n"/>
      <c r="D46" s="33" t="n"/>
      <c r="E46" s="32" t="n"/>
      <c r="F46" s="32" t="n"/>
      <c r="G46" s="10" t="n"/>
    </row>
    <row r="47" ht="15.75" customHeight="1" s="39">
      <c r="A47" s="32" t="n"/>
      <c r="B47" s="33" t="n"/>
      <c r="C47" s="34" t="n"/>
      <c r="D47" s="33" t="n"/>
      <c r="E47" s="32" t="n"/>
      <c r="F47" s="32" t="n"/>
      <c r="G47" s="10" t="n"/>
    </row>
    <row r="48" ht="15.75" customHeight="1" s="39">
      <c r="A48" s="32" t="n"/>
      <c r="B48" s="33" t="n"/>
      <c r="C48" s="34" t="n"/>
      <c r="D48" s="33" t="n"/>
      <c r="E48" s="32" t="n"/>
      <c r="F48" s="32" t="n"/>
      <c r="G48" s="10" t="n"/>
    </row>
    <row r="49" ht="15.75" customHeight="1" s="39">
      <c r="A49" s="32" t="n"/>
      <c r="B49" s="33" t="n"/>
      <c r="C49" s="34" t="n"/>
      <c r="D49" s="33" t="n"/>
      <c r="E49" s="32" t="n"/>
      <c r="F49" s="32" t="n"/>
      <c r="G49" s="10" t="n"/>
    </row>
    <row r="50" ht="15.75" customHeight="1" s="39">
      <c r="A50" s="32" t="n"/>
      <c r="B50" s="33" t="n"/>
      <c r="C50" s="34" t="n"/>
      <c r="D50" s="33" t="n"/>
      <c r="E50" s="32" t="n"/>
      <c r="F50" s="32" t="n"/>
      <c r="G50" s="10" t="n"/>
    </row>
    <row r="51" ht="15.75" customHeight="1" s="39"/>
    <row r="52" ht="15.75" customHeight="1" s="39"/>
    <row r="53" ht="15.75" customHeight="1" s="39"/>
    <row r="54" ht="15.75" customHeight="1" s="39"/>
    <row r="55" ht="15.75" customHeight="1" s="39"/>
    <row r="56" ht="15.75" customHeight="1" s="39"/>
    <row r="57" ht="15.75" customHeight="1" s="39"/>
    <row r="58" ht="15.75" customHeight="1" s="39"/>
    <row r="59" ht="15.75" customHeight="1" s="39"/>
    <row r="60" ht="15.75" customHeight="1" s="39"/>
    <row r="61" ht="15.75" customHeight="1" s="39"/>
    <row r="62" ht="15.75" customHeight="1" s="39"/>
    <row r="63" ht="15.75" customHeight="1" s="39"/>
    <row r="64" ht="15.75" customHeight="1" s="39"/>
    <row r="65" ht="15.75" customHeight="1" s="39"/>
    <row r="66" ht="15.75" customHeight="1" s="39"/>
    <row r="67" ht="15.75" customHeight="1" s="39"/>
    <row r="68" ht="15.75" customHeight="1" s="39"/>
    <row r="69" ht="15.75" customHeight="1" s="39"/>
    <row r="70" ht="15.75" customHeight="1" s="39"/>
    <row r="71" ht="15.75" customHeight="1" s="39"/>
    <row r="72" ht="15.75" customHeight="1" s="39"/>
    <row r="73" ht="15.75" customHeight="1" s="39"/>
    <row r="74" ht="15.75" customHeight="1" s="39"/>
    <row r="75" ht="15.75" customHeight="1" s="39"/>
    <row r="76" ht="15.75" customHeight="1" s="39"/>
    <row r="77" ht="15.75" customHeight="1" s="39"/>
    <row r="78" ht="15.75" customHeight="1" s="39"/>
    <row r="79" ht="15.75" customHeight="1" s="39"/>
    <row r="80" ht="15.75" customHeight="1" s="39"/>
    <row r="81" ht="15.75" customHeight="1" s="39"/>
    <row r="82" ht="15.75" customHeight="1" s="39"/>
    <row r="83" ht="15.75" customHeight="1" s="39"/>
    <row r="84" ht="15.75" customHeight="1" s="39"/>
    <row r="85" ht="15.75" customHeight="1" s="39"/>
    <row r="86" ht="15.75" customHeight="1" s="39"/>
    <row r="87" ht="15.75" customHeight="1" s="39"/>
    <row r="88" ht="15.75" customHeight="1" s="39"/>
    <row r="89" ht="15.75" customHeight="1" s="39"/>
    <row r="90" ht="15.75" customHeight="1" s="39"/>
    <row r="91" ht="15.75" customHeight="1" s="39"/>
    <row r="92" ht="15.75" customHeight="1" s="39"/>
    <row r="93" ht="15.75" customHeight="1" s="39"/>
    <row r="94" ht="15.75" customHeight="1" s="39"/>
    <row r="95" ht="15.75" customHeight="1" s="39"/>
    <row r="96" ht="15.75" customHeight="1" s="39"/>
    <row r="97" ht="15.75" customHeight="1" s="39"/>
    <row r="98" ht="15.75" customHeight="1" s="39"/>
    <row r="99" ht="15.75" customHeight="1" s="39"/>
    <row r="100" ht="15.75" customHeight="1" s="39"/>
    <row r="101" ht="15.75" customHeight="1" s="39"/>
    <row r="102" ht="15.75" customHeight="1" s="39"/>
    <row r="103" ht="15.75" customHeight="1" s="39"/>
    <row r="104" ht="15.75" customHeight="1" s="39"/>
    <row r="105" ht="15.75" customHeight="1" s="39"/>
    <row r="106" ht="15.75" customHeight="1" s="39"/>
    <row r="107" ht="15.75" customHeight="1" s="39"/>
    <row r="108" ht="15.75" customHeight="1" s="39"/>
    <row r="109" ht="15.75" customHeight="1" s="39"/>
    <row r="110" ht="15.75" customHeight="1" s="39"/>
    <row r="111" ht="15.75" customHeight="1" s="39"/>
    <row r="112" ht="15.75" customHeight="1" s="39"/>
    <row r="113" ht="15.75" customHeight="1" s="39"/>
    <row r="114" ht="15.75" customHeight="1" s="39"/>
    <row r="115" ht="15.75" customHeight="1" s="39"/>
    <row r="116" ht="15.75" customHeight="1" s="39"/>
    <row r="117" ht="15.75" customHeight="1" s="39"/>
    <row r="118" ht="15.75" customHeight="1" s="39"/>
    <row r="119" ht="15.75" customHeight="1" s="39"/>
    <row r="120" ht="15.75" customHeight="1" s="39"/>
    <row r="121" ht="15.75" customHeight="1" s="39"/>
    <row r="122" ht="15.75" customHeight="1" s="39"/>
    <row r="123" ht="15.75" customHeight="1" s="39"/>
    <row r="124" ht="15.75" customHeight="1" s="39"/>
    <row r="125" ht="15.75" customHeight="1" s="39"/>
    <row r="126" ht="15.75" customHeight="1" s="39"/>
    <row r="127" ht="15.75" customHeight="1" s="39"/>
    <row r="128" ht="15.75" customHeight="1" s="39"/>
    <row r="129" ht="15.75" customHeight="1" s="39"/>
    <row r="130" ht="15.75" customHeight="1" s="39"/>
    <row r="131" ht="15.75" customHeight="1" s="39"/>
    <row r="132" ht="15.75" customHeight="1" s="39"/>
    <row r="133" ht="15.75" customHeight="1" s="39"/>
    <row r="134" ht="15.75" customHeight="1" s="39"/>
    <row r="135" ht="15.75" customHeight="1" s="39"/>
    <row r="136" ht="15.75" customHeight="1" s="39"/>
    <row r="137" ht="15.75" customHeight="1" s="39"/>
    <row r="138" ht="15.75" customHeight="1" s="39"/>
    <row r="139" ht="15.75" customHeight="1" s="39"/>
    <row r="140" ht="15.75" customHeight="1" s="39"/>
    <row r="141" ht="15.75" customHeight="1" s="39"/>
    <row r="142" ht="15.75" customHeight="1" s="39"/>
    <row r="143" ht="15.75" customHeight="1" s="39"/>
    <row r="144" ht="15.75" customHeight="1" s="39"/>
    <row r="145" ht="15.75" customHeight="1" s="39"/>
    <row r="146" ht="15.75" customHeight="1" s="39"/>
    <row r="147" ht="15.75" customHeight="1" s="39"/>
    <row r="148" ht="15.75" customHeight="1" s="39"/>
    <row r="149" ht="15.75" customHeight="1" s="39"/>
    <row r="150" ht="15.75" customHeight="1" s="39"/>
    <row r="151" ht="15.75" customHeight="1" s="39"/>
    <row r="152" ht="15.75" customHeight="1" s="39"/>
    <row r="153" ht="15.75" customHeight="1" s="39"/>
    <row r="154" ht="15.75" customHeight="1" s="39"/>
    <row r="155" ht="15.75" customHeight="1" s="39"/>
    <row r="156" ht="15.75" customHeight="1" s="39"/>
    <row r="157" ht="15.75" customHeight="1" s="39"/>
    <row r="158" ht="15.75" customHeight="1" s="39"/>
    <row r="159" ht="15.75" customHeight="1" s="39"/>
    <row r="160" ht="15.75" customHeight="1" s="39"/>
    <row r="161" ht="15.75" customHeight="1" s="39"/>
    <row r="162" ht="15.75" customHeight="1" s="39"/>
    <row r="163" ht="15.75" customHeight="1" s="39"/>
    <row r="164" ht="15.75" customHeight="1" s="39"/>
    <row r="165" ht="15.75" customHeight="1" s="39"/>
    <row r="166" ht="15.75" customHeight="1" s="39"/>
    <row r="167" ht="15.75" customHeight="1" s="39"/>
    <row r="168" ht="15.75" customHeight="1" s="39"/>
    <row r="169" ht="15.75" customHeight="1" s="39"/>
    <row r="170" ht="15.75" customHeight="1" s="39"/>
    <row r="171" ht="15.75" customHeight="1" s="39"/>
    <row r="172" ht="15.75" customHeight="1" s="39"/>
    <row r="173" ht="15.75" customHeight="1" s="39"/>
    <row r="174" ht="15.75" customHeight="1" s="39"/>
    <row r="175" ht="15.75" customHeight="1" s="39"/>
    <row r="176" ht="15.75" customHeight="1" s="39"/>
    <row r="177" ht="15.75" customHeight="1" s="39"/>
    <row r="178" ht="15.75" customHeight="1" s="39"/>
    <row r="179" ht="15.75" customHeight="1" s="39"/>
    <row r="180" ht="15.75" customHeight="1" s="39"/>
    <row r="181" ht="15.75" customHeight="1" s="39"/>
    <row r="182" ht="15.75" customHeight="1" s="39"/>
    <row r="183" ht="15.75" customHeight="1" s="39"/>
    <row r="184" ht="15.75" customHeight="1" s="39"/>
    <row r="185" ht="15.75" customHeight="1" s="39"/>
    <row r="186" ht="15.75" customHeight="1" s="39"/>
    <row r="187" ht="15.75" customHeight="1" s="39"/>
    <row r="188" ht="15.75" customHeight="1" s="39"/>
    <row r="189" ht="15.75" customHeight="1" s="39"/>
    <row r="190" ht="15.75" customHeight="1" s="39"/>
    <row r="191" ht="15.75" customHeight="1" s="39"/>
    <row r="192" ht="15.75" customHeight="1" s="39"/>
    <row r="193" ht="15.75" customHeight="1" s="39"/>
    <row r="194" ht="15.75" customHeight="1" s="39"/>
    <row r="195" ht="15.75" customHeight="1" s="39"/>
    <row r="196" ht="15.75" customHeight="1" s="39"/>
    <row r="197" ht="15.75" customHeight="1" s="39"/>
    <row r="198" ht="15.75" customHeight="1" s="39"/>
    <row r="199" ht="15.75" customHeight="1" s="39"/>
    <row r="200" ht="15.75" customHeight="1" s="39"/>
    <row r="201" ht="15.75" customHeight="1" s="39"/>
    <row r="202" ht="15.75" customHeight="1" s="39"/>
    <row r="203" ht="15.75" customHeight="1" s="39"/>
    <row r="204" ht="15.75" customHeight="1" s="39"/>
    <row r="205" ht="15.75" customHeight="1" s="39"/>
    <row r="206" ht="15.75" customHeight="1" s="39"/>
    <row r="207" ht="15.75" customHeight="1" s="39"/>
    <row r="208" ht="15.75" customHeight="1" s="39"/>
    <row r="209" ht="15.75" customHeight="1" s="39"/>
    <row r="210" ht="15.75" customHeight="1" s="39"/>
    <row r="211" ht="15.75" customHeight="1" s="39"/>
    <row r="212" ht="15.75" customHeight="1" s="39"/>
    <row r="213" ht="15.75" customHeight="1" s="39"/>
    <row r="214" ht="15.75" customHeight="1" s="39"/>
    <row r="215" ht="15.75" customHeight="1" s="39"/>
    <row r="216" ht="15.75" customHeight="1" s="39"/>
    <row r="217" ht="15.75" customHeight="1" s="39"/>
    <row r="218" ht="15.75" customHeight="1" s="39"/>
    <row r="219" ht="15.75" customHeight="1" s="39"/>
    <row r="220" ht="15.75" customHeight="1" s="39"/>
    <row r="221" ht="15.75" customHeight="1" s="39"/>
    <row r="222" ht="15.75" customHeight="1" s="39"/>
    <row r="223" ht="15.75" customHeight="1" s="39"/>
    <row r="224" ht="15.75" customHeight="1" s="39"/>
    <row r="225" ht="15.75" customHeight="1" s="39"/>
    <row r="226" ht="15.75" customHeight="1" s="39"/>
    <row r="227" ht="15.75" customHeight="1" s="39"/>
    <row r="228" ht="15.75" customHeight="1" s="39"/>
    <row r="229" ht="15.75" customHeight="1" s="39"/>
    <row r="230" ht="15.75" customHeight="1" s="39"/>
    <row r="231" ht="15.75" customHeight="1" s="39"/>
    <row r="232" ht="15.75" customHeight="1" s="39"/>
    <row r="233" ht="15.75" customHeight="1" s="39"/>
    <row r="234" ht="15.75" customHeight="1" s="39"/>
    <row r="235" ht="15.75" customHeight="1" s="39"/>
    <row r="236" ht="15.75" customHeight="1" s="39"/>
    <row r="237" ht="15.75" customHeight="1" s="39"/>
    <row r="238" ht="15.75" customHeight="1" s="39"/>
    <row r="239" ht="15.75" customHeight="1" s="39"/>
    <row r="240" ht="15.75" customHeight="1" s="39"/>
    <row r="241" ht="15.75" customHeight="1" s="39"/>
    <row r="242" ht="15.75" customHeight="1" s="39"/>
    <row r="243" ht="15.75" customHeight="1" s="39"/>
    <row r="244" ht="15.75" customHeight="1" s="39"/>
    <row r="245" ht="15.75" customHeight="1" s="39"/>
    <row r="246" ht="15.75" customHeight="1" s="39"/>
    <row r="247" ht="15.75" customHeight="1" s="39"/>
    <row r="248" ht="15.75" customHeight="1" s="39"/>
    <row r="249" ht="15.75" customHeight="1" s="39"/>
    <row r="250" ht="15.75" customHeight="1" s="39"/>
    <row r="251" ht="15.75" customHeight="1" s="39"/>
    <row r="252" ht="15.75" customHeight="1" s="39"/>
    <row r="253" ht="15.75" customHeight="1" s="39"/>
    <row r="254" ht="15.75" customHeight="1" s="39"/>
    <row r="255" ht="15.75" customHeight="1" s="39"/>
    <row r="256" ht="15.75" customHeight="1" s="39"/>
    <row r="257" ht="15.75" customHeight="1" s="39"/>
    <row r="258" ht="15.75" customHeight="1" s="39"/>
    <row r="259" ht="15.75" customHeight="1" s="39"/>
    <row r="260" ht="15.75" customHeight="1" s="39"/>
    <row r="261" ht="15.75" customHeight="1" s="39"/>
    <row r="262" ht="15.75" customHeight="1" s="39"/>
    <row r="263" ht="15.75" customHeight="1" s="39"/>
    <row r="264" ht="15.75" customHeight="1" s="39"/>
    <row r="265" ht="15.75" customHeight="1" s="39"/>
    <row r="266" ht="15.75" customHeight="1" s="39"/>
    <row r="267" ht="15.75" customHeight="1" s="39"/>
    <row r="268" ht="15.75" customHeight="1" s="39"/>
    <row r="269" ht="15.75" customHeight="1" s="39"/>
    <row r="270" ht="15.75" customHeight="1" s="39"/>
    <row r="271" ht="15.75" customHeight="1" s="39"/>
    <row r="272" ht="15.75" customHeight="1" s="39"/>
    <row r="273" ht="15.75" customHeight="1" s="39"/>
    <row r="274" ht="15.75" customHeight="1" s="39"/>
    <row r="275" ht="15.75" customHeight="1" s="39"/>
    <row r="276" ht="15.75" customHeight="1" s="39"/>
    <row r="277" ht="15.75" customHeight="1" s="39"/>
    <row r="278" ht="15.75" customHeight="1" s="39"/>
    <row r="279" ht="15.75" customHeight="1" s="39"/>
    <row r="280" ht="15.75" customHeight="1" s="39"/>
    <row r="281" ht="15.75" customHeight="1" s="39"/>
    <row r="282" ht="15.75" customHeight="1" s="39"/>
    <row r="283" ht="15.75" customHeight="1" s="39"/>
    <row r="284" ht="15.75" customHeight="1" s="39"/>
    <row r="285" ht="15.75" customHeight="1" s="39"/>
    <row r="286" ht="15.75" customHeight="1" s="39"/>
    <row r="287" ht="15.75" customHeight="1" s="39"/>
    <row r="288" ht="15.75" customHeight="1" s="39"/>
    <row r="289" ht="15.75" customHeight="1" s="39"/>
    <row r="290" ht="15.75" customHeight="1" s="39"/>
    <row r="291" ht="15.75" customHeight="1" s="39"/>
    <row r="292" ht="15.75" customHeight="1" s="39"/>
    <row r="293" ht="15.75" customHeight="1" s="39"/>
    <row r="294" ht="15.75" customHeight="1" s="39"/>
    <row r="295" ht="15.75" customHeight="1" s="39"/>
    <row r="296" ht="15.75" customHeight="1" s="39"/>
    <row r="297" ht="15.75" customHeight="1" s="39"/>
    <row r="298" ht="15.75" customHeight="1" s="39"/>
    <row r="299" ht="15.75" customHeight="1" s="39"/>
    <row r="300" ht="15.75" customHeight="1" s="39"/>
    <row r="301" ht="15.75" customHeight="1" s="39"/>
    <row r="302" ht="15.75" customHeight="1" s="39"/>
    <row r="303" ht="15.75" customHeight="1" s="39"/>
    <row r="304" ht="15.75" customHeight="1" s="39"/>
    <row r="305" ht="15.75" customHeight="1" s="39"/>
    <row r="306" ht="15.75" customHeight="1" s="39"/>
    <row r="307" ht="15.75" customHeight="1" s="39"/>
    <row r="308" ht="15.75" customHeight="1" s="39"/>
    <row r="309" ht="15.75" customHeight="1" s="39"/>
    <row r="310" ht="15.75" customHeight="1" s="39"/>
    <row r="311" ht="15.75" customHeight="1" s="39"/>
    <row r="312" ht="15.75" customHeight="1" s="39"/>
    <row r="313" ht="15.75" customHeight="1" s="39"/>
    <row r="314" ht="15.75" customHeight="1" s="39"/>
    <row r="315" ht="15.75" customHeight="1" s="39"/>
    <row r="316" ht="15.75" customHeight="1" s="39"/>
    <row r="317" ht="15.75" customHeight="1" s="39"/>
    <row r="318" ht="15.75" customHeight="1" s="39"/>
    <row r="319" ht="15.75" customHeight="1" s="39"/>
    <row r="320" ht="15.75" customHeight="1" s="39"/>
    <row r="321" ht="15.75" customHeight="1" s="39"/>
    <row r="322" ht="15.75" customHeight="1" s="39"/>
    <row r="323" ht="15.75" customHeight="1" s="39"/>
    <row r="324" ht="15.75" customHeight="1" s="39"/>
    <row r="325" ht="15.75" customHeight="1" s="39"/>
    <row r="326" ht="15.75" customHeight="1" s="39"/>
    <row r="327" ht="15.75" customHeight="1" s="39"/>
    <row r="328" ht="15.75" customHeight="1" s="39"/>
    <row r="329" ht="15.75" customHeight="1" s="39"/>
    <row r="330" ht="15.75" customHeight="1" s="39"/>
    <row r="331" ht="15.75" customHeight="1" s="39"/>
    <row r="332" ht="15.75" customHeight="1" s="39"/>
    <row r="333" ht="15.75" customHeight="1" s="39"/>
    <row r="334" ht="15.75" customHeight="1" s="39"/>
    <row r="335" ht="15.75" customHeight="1" s="39"/>
    <row r="336" ht="15.75" customHeight="1" s="39"/>
    <row r="337" ht="15.75" customHeight="1" s="39"/>
    <row r="338" ht="15.75" customHeight="1" s="39"/>
    <row r="339" ht="15.75" customHeight="1" s="39"/>
    <row r="340" ht="15.75" customHeight="1" s="39"/>
    <row r="341" ht="15.75" customHeight="1" s="39"/>
    <row r="342" ht="15.75" customHeight="1" s="39"/>
    <row r="343" ht="15.75" customHeight="1" s="39"/>
    <row r="344" ht="15.75" customHeight="1" s="39"/>
    <row r="345" ht="15.75" customHeight="1" s="39"/>
    <row r="346" ht="15.75" customHeight="1" s="39"/>
    <row r="347" ht="15.75" customHeight="1" s="39"/>
    <row r="348" ht="15.75" customHeight="1" s="39"/>
    <row r="349" ht="15.75" customHeight="1" s="39"/>
    <row r="350" ht="15.75" customHeight="1" s="39"/>
    <row r="351" ht="15.75" customHeight="1" s="39"/>
    <row r="352" ht="15.75" customHeight="1" s="39"/>
    <row r="353" ht="15.75" customHeight="1" s="39"/>
    <row r="354" ht="15.75" customHeight="1" s="39"/>
    <row r="355" ht="15.75" customHeight="1" s="39"/>
    <row r="356" ht="15.75" customHeight="1" s="39"/>
    <row r="357" ht="15.75" customHeight="1" s="39"/>
    <row r="358" ht="15.75" customHeight="1" s="39"/>
    <row r="359" ht="15.75" customHeight="1" s="39"/>
    <row r="360" ht="15.75" customHeight="1" s="39"/>
    <row r="361" ht="15.75" customHeight="1" s="39"/>
    <row r="362" ht="15.75" customHeight="1" s="39"/>
    <row r="363" ht="15.75" customHeight="1" s="39"/>
    <row r="364" ht="15.75" customHeight="1" s="39"/>
    <row r="365" ht="15.75" customHeight="1" s="39"/>
    <row r="366" ht="15.75" customHeight="1" s="39"/>
    <row r="367" ht="15.75" customHeight="1" s="39"/>
    <row r="368" ht="15.75" customHeight="1" s="39"/>
    <row r="369" ht="15.75" customHeight="1" s="39"/>
    <row r="370" ht="15.75" customHeight="1" s="39"/>
    <row r="371" ht="15.75" customHeight="1" s="39"/>
    <row r="372" ht="15.75" customHeight="1" s="39"/>
    <row r="373" ht="15.75" customHeight="1" s="39"/>
    <row r="374" ht="15.75" customHeight="1" s="39"/>
    <row r="375" ht="15.75" customHeight="1" s="39"/>
    <row r="376" ht="15.75" customHeight="1" s="39"/>
    <row r="377" ht="15.75" customHeight="1" s="39"/>
    <row r="378" ht="15.75" customHeight="1" s="39"/>
    <row r="379" ht="15.75" customHeight="1" s="39"/>
    <row r="380" ht="15.75" customHeight="1" s="39"/>
    <row r="381" ht="15.75" customHeight="1" s="39"/>
    <row r="382" ht="15.75" customHeight="1" s="39"/>
    <row r="383" ht="15.75" customHeight="1" s="39"/>
    <row r="384" ht="15.75" customHeight="1" s="39"/>
    <row r="385" ht="15.75" customHeight="1" s="39"/>
    <row r="386" ht="15.75" customHeight="1" s="39"/>
    <row r="387" ht="15.75" customHeight="1" s="39"/>
    <row r="388" ht="15.75" customHeight="1" s="39"/>
    <row r="389" ht="15.75" customHeight="1" s="39"/>
    <row r="390" ht="15.75" customHeight="1" s="39"/>
    <row r="391" ht="15.75" customHeight="1" s="39"/>
    <row r="392" ht="15.75" customHeight="1" s="39"/>
    <row r="393" ht="15.75" customHeight="1" s="39"/>
    <row r="394" ht="15.75" customHeight="1" s="39"/>
    <row r="395" ht="15.75" customHeight="1" s="39"/>
    <row r="396" ht="15.75" customHeight="1" s="39"/>
    <row r="397" ht="15.75" customHeight="1" s="39"/>
    <row r="398" ht="15.75" customHeight="1" s="39"/>
    <row r="399" ht="15.75" customHeight="1" s="39"/>
    <row r="400" ht="15.75" customHeight="1" s="39"/>
    <row r="401" ht="15.75" customHeight="1" s="39"/>
    <row r="402" ht="15.75" customHeight="1" s="39"/>
    <row r="403" ht="15.75" customHeight="1" s="39"/>
    <row r="404" ht="15.75" customHeight="1" s="39"/>
    <row r="405" ht="15.75" customHeight="1" s="39"/>
    <row r="406" ht="15.75" customHeight="1" s="39"/>
    <row r="407" ht="15.75" customHeight="1" s="39"/>
    <row r="408" ht="15.75" customHeight="1" s="39"/>
    <row r="409" ht="15.75" customHeight="1" s="39"/>
    <row r="410" ht="15.75" customHeight="1" s="39"/>
    <row r="411" ht="15.75" customHeight="1" s="39"/>
    <row r="412" ht="15.75" customHeight="1" s="39"/>
    <row r="413" ht="15.75" customHeight="1" s="39"/>
    <row r="414" ht="15.75" customHeight="1" s="39"/>
    <row r="415" ht="15.75" customHeight="1" s="39"/>
    <row r="416" ht="15.75" customHeight="1" s="39"/>
    <row r="417" ht="15.75" customHeight="1" s="39"/>
    <row r="418" ht="15.75" customHeight="1" s="39"/>
    <row r="419" ht="15.75" customHeight="1" s="39"/>
    <row r="420" ht="15.75" customHeight="1" s="39"/>
    <row r="421" ht="15.75" customHeight="1" s="39"/>
    <row r="422" ht="15.75" customHeight="1" s="39"/>
    <row r="423" ht="15.75" customHeight="1" s="39"/>
    <row r="424" ht="15.75" customHeight="1" s="39"/>
    <row r="425" ht="15.75" customHeight="1" s="39"/>
    <row r="426" ht="15.75" customHeight="1" s="39"/>
    <row r="427" ht="15.75" customHeight="1" s="39"/>
    <row r="428" ht="15.75" customHeight="1" s="39"/>
    <row r="429" ht="15.75" customHeight="1" s="39"/>
    <row r="430" ht="15.75" customHeight="1" s="39"/>
    <row r="431" ht="15.75" customHeight="1" s="39"/>
    <row r="432" ht="15.75" customHeight="1" s="39"/>
    <row r="433" ht="15.75" customHeight="1" s="39"/>
    <row r="434" ht="15.75" customHeight="1" s="39"/>
    <row r="435" ht="15.75" customHeight="1" s="39"/>
    <row r="436" ht="15.75" customHeight="1" s="39"/>
    <row r="437" ht="15.75" customHeight="1" s="39"/>
    <row r="438" ht="15.75" customHeight="1" s="39"/>
    <row r="439" ht="15.75" customHeight="1" s="39"/>
    <row r="440" ht="15.75" customHeight="1" s="39"/>
    <row r="441" ht="15.75" customHeight="1" s="39"/>
    <row r="442" ht="15.75" customHeight="1" s="39"/>
    <row r="443" ht="15.75" customHeight="1" s="39"/>
    <row r="444" ht="15.75" customHeight="1" s="39"/>
    <row r="445" ht="15.75" customHeight="1" s="39"/>
    <row r="446" ht="15.75" customHeight="1" s="39"/>
    <row r="447" ht="15.75" customHeight="1" s="39"/>
    <row r="448" ht="15.75" customHeight="1" s="39"/>
    <row r="449" ht="15.75" customHeight="1" s="39"/>
    <row r="450" ht="15.75" customHeight="1" s="39"/>
    <row r="451" ht="15.75" customHeight="1" s="39"/>
    <row r="452" ht="15.75" customHeight="1" s="39"/>
    <row r="453" ht="15.75" customHeight="1" s="39"/>
    <row r="454" ht="15.75" customHeight="1" s="39"/>
    <row r="455" ht="15.75" customHeight="1" s="39"/>
    <row r="456" ht="15.75" customHeight="1" s="39"/>
    <row r="457" ht="15.75" customHeight="1" s="39"/>
    <row r="458" ht="15.75" customHeight="1" s="39"/>
    <row r="459" ht="15.75" customHeight="1" s="39"/>
    <row r="460" ht="15.75" customHeight="1" s="39"/>
    <row r="461" ht="15.75" customHeight="1" s="39"/>
    <row r="462" ht="15.75" customHeight="1" s="39"/>
    <row r="463" ht="15.75" customHeight="1" s="39"/>
    <row r="464" ht="15.75" customHeight="1" s="39"/>
    <row r="465" ht="15.75" customHeight="1" s="39"/>
    <row r="466" ht="15.75" customHeight="1" s="39"/>
    <row r="467" ht="15.75" customHeight="1" s="39"/>
    <row r="468" ht="15.75" customHeight="1" s="39"/>
    <row r="469" ht="15.75" customHeight="1" s="39"/>
    <row r="470" ht="15.75" customHeight="1" s="39"/>
    <row r="471" ht="15.75" customHeight="1" s="39"/>
    <row r="472" ht="15.75" customHeight="1" s="39"/>
    <row r="473" ht="15.75" customHeight="1" s="39"/>
    <row r="474" ht="15.75" customHeight="1" s="39"/>
    <row r="475" ht="15.75" customHeight="1" s="39"/>
    <row r="476" ht="15.75" customHeight="1" s="39"/>
    <row r="477" ht="15.75" customHeight="1" s="39"/>
    <row r="478" ht="15.75" customHeight="1" s="39"/>
    <row r="479" ht="15.75" customHeight="1" s="39"/>
    <row r="480" ht="15.75" customHeight="1" s="39"/>
    <row r="481" ht="15.75" customHeight="1" s="39"/>
    <row r="482" ht="15.75" customHeight="1" s="39"/>
    <row r="483" ht="15.75" customHeight="1" s="39"/>
    <row r="484" ht="15.75" customHeight="1" s="39"/>
    <row r="485" ht="15.75" customHeight="1" s="39"/>
    <row r="486" ht="15.75" customHeight="1" s="39"/>
    <row r="487" ht="15.75" customHeight="1" s="39"/>
    <row r="488" ht="15.75" customHeight="1" s="39"/>
    <row r="489" ht="15.75" customHeight="1" s="39"/>
    <row r="490" ht="15.75" customHeight="1" s="39"/>
    <row r="491" ht="15.75" customHeight="1" s="39"/>
    <row r="492" ht="15.75" customHeight="1" s="39"/>
    <row r="493" ht="15.75" customHeight="1" s="39"/>
    <row r="494" ht="15.75" customHeight="1" s="39"/>
    <row r="495" ht="15.75" customHeight="1" s="39"/>
    <row r="496" ht="15.75" customHeight="1" s="39"/>
    <row r="497" ht="15.75" customHeight="1" s="39"/>
    <row r="498" ht="15.75" customHeight="1" s="39"/>
    <row r="499" ht="15.75" customHeight="1" s="39"/>
    <row r="500" ht="15.75" customHeight="1" s="39"/>
    <row r="501" ht="15.75" customHeight="1" s="39"/>
    <row r="502" ht="15.75" customHeight="1" s="39"/>
    <row r="503" ht="15.75" customHeight="1" s="39"/>
    <row r="504" ht="15.75" customHeight="1" s="39"/>
    <row r="505" ht="15.75" customHeight="1" s="39"/>
    <row r="506" ht="15.75" customHeight="1" s="39"/>
    <row r="507" ht="15.75" customHeight="1" s="39"/>
    <row r="508" ht="15.75" customHeight="1" s="39"/>
    <row r="509" ht="15.75" customHeight="1" s="39"/>
    <row r="510" ht="15.75" customHeight="1" s="39"/>
    <row r="511" ht="15.75" customHeight="1" s="39"/>
    <row r="512" ht="15.75" customHeight="1" s="39"/>
    <row r="513" ht="15.75" customHeight="1" s="39"/>
    <row r="514" ht="15.75" customHeight="1" s="39"/>
    <row r="515" ht="15.75" customHeight="1" s="39"/>
    <row r="516" ht="15.75" customHeight="1" s="39"/>
    <row r="517" ht="15.75" customHeight="1" s="39"/>
    <row r="518" ht="15.75" customHeight="1" s="39"/>
    <row r="519" ht="15.75" customHeight="1" s="39"/>
    <row r="520" ht="15.75" customHeight="1" s="39"/>
    <row r="521" ht="15.75" customHeight="1" s="39"/>
    <row r="522" ht="15.75" customHeight="1" s="39"/>
    <row r="523" ht="15.75" customHeight="1" s="39"/>
    <row r="524" ht="15.75" customHeight="1" s="39"/>
    <row r="525" ht="15.75" customHeight="1" s="39"/>
    <row r="526" ht="15.75" customHeight="1" s="39"/>
    <row r="527" ht="15.75" customHeight="1" s="39"/>
    <row r="528" ht="15.75" customHeight="1" s="39"/>
    <row r="529" ht="15.75" customHeight="1" s="39"/>
    <row r="530" ht="15.75" customHeight="1" s="39"/>
    <row r="531" ht="15.75" customHeight="1" s="39"/>
    <row r="532" ht="15.75" customHeight="1" s="39"/>
    <row r="533" ht="15.75" customHeight="1" s="39"/>
    <row r="534" ht="15.75" customHeight="1" s="39"/>
    <row r="535" ht="15.75" customHeight="1" s="39"/>
    <row r="536" ht="15.75" customHeight="1" s="39"/>
    <row r="537" ht="15.75" customHeight="1" s="39"/>
    <row r="538" ht="15.75" customHeight="1" s="39"/>
    <row r="539" ht="15.75" customHeight="1" s="39"/>
    <row r="540" ht="15.75" customHeight="1" s="39"/>
    <row r="541" ht="15.75" customHeight="1" s="39"/>
    <row r="542" ht="15.75" customHeight="1" s="39"/>
    <row r="543" ht="15.75" customHeight="1" s="39"/>
    <row r="544" ht="15.75" customHeight="1" s="39"/>
    <row r="545" ht="15.75" customHeight="1" s="39"/>
    <row r="546" ht="15.75" customHeight="1" s="39"/>
    <row r="547" ht="15.75" customHeight="1" s="39"/>
    <row r="548" ht="15.75" customHeight="1" s="39"/>
    <row r="549" ht="15.75" customHeight="1" s="39"/>
    <row r="550" ht="15.75" customHeight="1" s="39"/>
    <row r="551" ht="15.75" customHeight="1" s="39"/>
    <row r="552" ht="15.75" customHeight="1" s="39"/>
    <row r="553" ht="15.75" customHeight="1" s="39"/>
    <row r="554" ht="15.75" customHeight="1" s="39"/>
    <row r="555" ht="15.75" customHeight="1" s="39"/>
    <row r="556" ht="15.75" customHeight="1" s="39"/>
    <row r="557" ht="15.75" customHeight="1" s="39"/>
    <row r="558" ht="15.75" customHeight="1" s="39"/>
    <row r="559" ht="15.75" customHeight="1" s="39"/>
    <row r="560" ht="15.75" customHeight="1" s="39"/>
    <row r="561" ht="15.75" customHeight="1" s="39"/>
    <row r="562" ht="15.75" customHeight="1" s="39"/>
    <row r="563" ht="15.75" customHeight="1" s="39"/>
    <row r="564" ht="15.75" customHeight="1" s="39"/>
    <row r="565" ht="15.75" customHeight="1" s="39"/>
    <row r="566" ht="15.75" customHeight="1" s="39"/>
    <row r="567" ht="15.75" customHeight="1" s="39"/>
    <row r="568" ht="15.75" customHeight="1" s="39"/>
    <row r="569" ht="15.75" customHeight="1" s="39"/>
    <row r="570" ht="15.75" customHeight="1" s="39"/>
    <row r="571" ht="15.75" customHeight="1" s="39"/>
    <row r="572" ht="15.75" customHeight="1" s="39"/>
    <row r="573" ht="15.75" customHeight="1" s="39"/>
    <row r="574" ht="15.75" customHeight="1" s="39"/>
    <row r="575" ht="15.75" customHeight="1" s="39"/>
    <row r="576" ht="15.75" customHeight="1" s="39"/>
    <row r="577" ht="15.75" customHeight="1" s="39"/>
    <row r="578" ht="15.75" customHeight="1" s="39"/>
    <row r="579" ht="15.75" customHeight="1" s="39"/>
    <row r="580" ht="15.75" customHeight="1" s="39"/>
    <row r="581" ht="15.75" customHeight="1" s="39"/>
    <row r="582" ht="15.75" customHeight="1" s="39"/>
    <row r="583" ht="15.75" customHeight="1" s="39"/>
    <row r="584" ht="15.75" customHeight="1" s="39"/>
    <row r="585" ht="15.75" customHeight="1" s="39"/>
    <row r="586" ht="15.75" customHeight="1" s="39"/>
    <row r="587" ht="15.75" customHeight="1" s="39"/>
    <row r="588" ht="15.75" customHeight="1" s="39"/>
    <row r="589" ht="15.75" customHeight="1" s="39"/>
    <row r="590" ht="15.75" customHeight="1" s="39"/>
    <row r="591" ht="15.75" customHeight="1" s="39"/>
    <row r="592" ht="15.75" customHeight="1" s="39"/>
    <row r="593" ht="15.75" customHeight="1" s="39"/>
    <row r="594" ht="15.75" customHeight="1" s="39"/>
    <row r="595" ht="15.75" customHeight="1" s="39"/>
    <row r="596" ht="15.75" customHeight="1" s="39"/>
    <row r="597" ht="15.75" customHeight="1" s="39"/>
    <row r="598" ht="15.75" customHeight="1" s="39"/>
    <row r="599" ht="15.75" customHeight="1" s="39"/>
    <row r="600" ht="15.75" customHeight="1" s="39"/>
    <row r="601" ht="15.75" customHeight="1" s="39"/>
    <row r="602" ht="15.75" customHeight="1" s="39"/>
    <row r="603" ht="15.75" customHeight="1" s="39"/>
    <row r="604" ht="15.75" customHeight="1" s="39"/>
    <row r="605" ht="15.75" customHeight="1" s="39"/>
    <row r="606" ht="15.75" customHeight="1" s="39"/>
    <row r="607" ht="15.75" customHeight="1" s="39"/>
    <row r="608" ht="15.75" customHeight="1" s="39"/>
    <row r="609" ht="15.75" customHeight="1" s="39"/>
    <row r="610" ht="15.75" customHeight="1" s="39"/>
    <row r="611" ht="15.75" customHeight="1" s="39"/>
    <row r="612" ht="15.75" customHeight="1" s="39"/>
    <row r="613" ht="15.75" customHeight="1" s="39"/>
    <row r="614" ht="15.75" customHeight="1" s="39"/>
    <row r="615" ht="15.75" customHeight="1" s="39"/>
    <row r="616" ht="15.75" customHeight="1" s="39"/>
    <row r="617" ht="15.75" customHeight="1" s="39"/>
    <row r="618" ht="15.75" customHeight="1" s="39"/>
    <row r="619" ht="15.75" customHeight="1" s="39"/>
    <row r="620" ht="15.75" customHeight="1" s="39"/>
    <row r="621" ht="15.75" customHeight="1" s="39"/>
    <row r="622" ht="15.75" customHeight="1" s="39"/>
    <row r="623" ht="15.75" customHeight="1" s="39"/>
    <row r="624" ht="15.75" customHeight="1" s="39"/>
    <row r="625" ht="15.75" customHeight="1" s="39"/>
    <row r="626" ht="15.75" customHeight="1" s="39"/>
    <row r="627" ht="15.75" customHeight="1" s="39"/>
    <row r="628" ht="15.75" customHeight="1" s="39"/>
    <row r="629" ht="15.75" customHeight="1" s="39"/>
    <row r="630" ht="15.75" customHeight="1" s="39"/>
    <row r="631" ht="15.75" customHeight="1" s="39"/>
    <row r="632" ht="15.75" customHeight="1" s="39"/>
    <row r="633" ht="15.75" customHeight="1" s="39"/>
    <row r="634" ht="15.75" customHeight="1" s="39"/>
    <row r="635" ht="15.75" customHeight="1" s="39"/>
    <row r="636" ht="15.75" customHeight="1" s="39"/>
    <row r="637" ht="15.75" customHeight="1" s="39"/>
    <row r="638" ht="15.75" customHeight="1" s="39"/>
    <row r="639" ht="15.75" customHeight="1" s="39"/>
    <row r="640" ht="15.75" customHeight="1" s="39"/>
    <row r="641" ht="15.75" customHeight="1" s="39"/>
    <row r="642" ht="15.75" customHeight="1" s="39"/>
    <row r="643" ht="15.75" customHeight="1" s="39"/>
    <row r="644" ht="15.75" customHeight="1" s="39"/>
    <row r="645" ht="15.75" customHeight="1" s="39"/>
    <row r="646" ht="15.75" customHeight="1" s="39"/>
    <row r="647" ht="15.75" customHeight="1" s="39"/>
    <row r="648" ht="15.75" customHeight="1" s="39"/>
    <row r="649" ht="15.75" customHeight="1" s="39"/>
    <row r="650" ht="15.75" customHeight="1" s="39"/>
    <row r="651" ht="15.75" customHeight="1" s="39"/>
    <row r="652" ht="15.75" customHeight="1" s="39"/>
    <row r="653" ht="15.75" customHeight="1" s="39"/>
    <row r="654" ht="15.75" customHeight="1" s="39"/>
    <row r="655" ht="15.75" customHeight="1" s="39"/>
    <row r="656" ht="15.75" customHeight="1" s="39"/>
    <row r="657" ht="15.75" customHeight="1" s="39"/>
    <row r="658" ht="15.75" customHeight="1" s="39"/>
    <row r="659" ht="15.75" customHeight="1" s="39"/>
    <row r="660" ht="15.75" customHeight="1" s="39"/>
    <row r="661" ht="15.75" customHeight="1" s="39"/>
    <row r="662" ht="15.75" customHeight="1" s="39"/>
    <row r="663" ht="15.75" customHeight="1" s="39"/>
    <row r="664" ht="15.75" customHeight="1" s="39"/>
    <row r="665" ht="15.75" customHeight="1" s="39"/>
    <row r="666" ht="15.75" customHeight="1" s="39"/>
    <row r="667" ht="15.75" customHeight="1" s="39"/>
    <row r="668" ht="15.75" customHeight="1" s="39"/>
    <row r="669" ht="15.75" customHeight="1" s="39"/>
    <row r="670" ht="15.75" customHeight="1" s="39"/>
    <row r="671" ht="15.75" customHeight="1" s="39"/>
    <row r="672" ht="15.75" customHeight="1" s="39"/>
    <row r="673" ht="15.75" customHeight="1" s="39"/>
    <row r="674" ht="15.75" customHeight="1" s="39"/>
    <row r="675" ht="15.75" customHeight="1" s="39"/>
    <row r="676" ht="15.75" customHeight="1" s="39"/>
    <row r="677" ht="15.75" customHeight="1" s="39"/>
    <row r="678" ht="15.75" customHeight="1" s="39"/>
    <row r="679" ht="15.75" customHeight="1" s="39"/>
    <row r="680" ht="15.75" customHeight="1" s="39"/>
    <row r="681" ht="15.75" customHeight="1" s="39"/>
    <row r="682" ht="15.75" customHeight="1" s="39"/>
    <row r="683" ht="15.75" customHeight="1" s="39"/>
    <row r="684" ht="15.75" customHeight="1" s="39"/>
    <row r="685" ht="15.75" customHeight="1" s="39"/>
    <row r="686" ht="15.75" customHeight="1" s="39"/>
    <row r="687" ht="15.75" customHeight="1" s="39"/>
    <row r="688" ht="15.75" customHeight="1" s="39"/>
    <row r="689" ht="15.75" customHeight="1" s="39"/>
    <row r="690" ht="15.75" customHeight="1" s="39"/>
    <row r="691" ht="15.75" customHeight="1" s="39"/>
    <row r="692" ht="15.75" customHeight="1" s="39"/>
    <row r="693" ht="15.75" customHeight="1" s="39"/>
    <row r="694" ht="15.75" customHeight="1" s="39"/>
    <row r="695" ht="15.75" customHeight="1" s="39"/>
    <row r="696" ht="15.75" customHeight="1" s="39"/>
    <row r="697" ht="15.75" customHeight="1" s="39"/>
    <row r="698" ht="15.75" customHeight="1" s="39"/>
    <row r="699" ht="15.75" customHeight="1" s="39"/>
    <row r="700" ht="15.75" customHeight="1" s="39"/>
    <row r="701" ht="15.75" customHeight="1" s="39"/>
    <row r="702" ht="15.75" customHeight="1" s="39"/>
    <row r="703" ht="15.75" customHeight="1" s="39"/>
    <row r="704" ht="15.75" customHeight="1" s="39"/>
    <row r="705" ht="15.75" customHeight="1" s="39"/>
    <row r="706" ht="15.75" customHeight="1" s="39"/>
    <row r="707" ht="15.75" customHeight="1" s="39"/>
    <row r="708" ht="15.75" customHeight="1" s="39"/>
    <row r="709" ht="15.75" customHeight="1" s="39"/>
    <row r="710" ht="15.75" customHeight="1" s="39"/>
    <row r="711" ht="15.75" customHeight="1" s="39"/>
    <row r="712" ht="15.75" customHeight="1" s="39"/>
    <row r="713" ht="15.75" customHeight="1" s="39"/>
    <row r="714" ht="15.75" customHeight="1" s="39"/>
    <row r="715" ht="15.75" customHeight="1" s="39"/>
    <row r="716" ht="15.75" customHeight="1" s="39"/>
    <row r="717" ht="15.75" customHeight="1" s="39"/>
    <row r="718" ht="15.75" customHeight="1" s="39"/>
    <row r="719" ht="15.75" customHeight="1" s="39"/>
    <row r="720" ht="15.75" customHeight="1" s="39"/>
    <row r="721" ht="15.75" customHeight="1" s="39"/>
    <row r="722" ht="15.75" customHeight="1" s="39"/>
    <row r="723" ht="15.75" customHeight="1" s="39"/>
    <row r="724" ht="15.75" customHeight="1" s="39"/>
    <row r="725" ht="15.75" customHeight="1" s="39"/>
    <row r="726" ht="15.75" customHeight="1" s="39"/>
    <row r="727" ht="15.75" customHeight="1" s="39"/>
    <row r="728" ht="15.75" customHeight="1" s="39"/>
    <row r="729" ht="15.75" customHeight="1" s="39"/>
    <row r="730" ht="15.75" customHeight="1" s="39"/>
    <row r="731" ht="15.75" customHeight="1" s="39"/>
    <row r="732" ht="15.75" customHeight="1" s="39"/>
    <row r="733" ht="15.75" customHeight="1" s="39"/>
    <row r="734" ht="15.75" customHeight="1" s="39"/>
    <row r="735" ht="15.75" customHeight="1" s="39"/>
    <row r="736" ht="15.75" customHeight="1" s="39"/>
    <row r="737" ht="15.75" customHeight="1" s="39"/>
    <row r="738" ht="15.75" customHeight="1" s="39"/>
    <row r="739" ht="15.75" customHeight="1" s="39"/>
    <row r="740" ht="15.75" customHeight="1" s="39"/>
    <row r="741" ht="15.75" customHeight="1" s="39"/>
    <row r="742" ht="15.75" customHeight="1" s="39"/>
    <row r="743" ht="15.75" customHeight="1" s="39"/>
    <row r="744" ht="15.75" customHeight="1" s="39"/>
    <row r="745" ht="15.75" customHeight="1" s="39"/>
    <row r="746" ht="15.75" customHeight="1" s="39"/>
    <row r="747" ht="15.75" customHeight="1" s="39"/>
    <row r="748" ht="15.75" customHeight="1" s="39"/>
    <row r="749" ht="15.75" customHeight="1" s="39"/>
    <row r="750" ht="15.75" customHeight="1" s="39"/>
    <row r="751" ht="15.75" customHeight="1" s="39"/>
    <row r="752" ht="15.75" customHeight="1" s="39"/>
    <row r="753" ht="15.75" customHeight="1" s="39"/>
    <row r="754" ht="15.75" customHeight="1" s="39"/>
    <row r="755" ht="15.75" customHeight="1" s="39"/>
    <row r="756" ht="15.75" customHeight="1" s="39"/>
    <row r="757" ht="15.75" customHeight="1" s="39"/>
    <row r="758" ht="15.75" customHeight="1" s="39"/>
    <row r="759" ht="15.75" customHeight="1" s="39"/>
    <row r="760" ht="15.75" customHeight="1" s="39"/>
    <row r="761" ht="15.75" customHeight="1" s="39"/>
    <row r="762" ht="15.75" customHeight="1" s="39"/>
    <row r="763" ht="15.75" customHeight="1" s="39"/>
    <row r="764" ht="15.75" customHeight="1" s="39"/>
    <row r="765" ht="15.75" customHeight="1" s="39"/>
    <row r="766" ht="15.75" customHeight="1" s="39"/>
    <row r="767" ht="15.75" customHeight="1" s="39"/>
    <row r="768" ht="15.75" customHeight="1" s="39"/>
    <row r="769" ht="15.75" customHeight="1" s="39"/>
    <row r="770" ht="15.75" customHeight="1" s="39"/>
    <row r="771" ht="15.75" customHeight="1" s="39"/>
    <row r="772" ht="15.75" customHeight="1" s="39"/>
    <row r="773" ht="15.75" customHeight="1" s="39"/>
    <row r="774" ht="15.75" customHeight="1" s="39"/>
    <row r="775" ht="15.75" customHeight="1" s="39"/>
    <row r="776" ht="15.75" customHeight="1" s="39"/>
    <row r="777" ht="15.75" customHeight="1" s="39"/>
    <row r="778" ht="15.75" customHeight="1" s="39"/>
    <row r="779" ht="15.75" customHeight="1" s="39"/>
    <row r="780" ht="15.75" customHeight="1" s="39"/>
    <row r="781" ht="15.75" customHeight="1" s="39"/>
    <row r="782" ht="15.75" customHeight="1" s="39"/>
    <row r="783" ht="15.75" customHeight="1" s="39"/>
    <row r="784" ht="15.75" customHeight="1" s="39"/>
    <row r="785" ht="15.75" customHeight="1" s="39"/>
    <row r="786" ht="15.75" customHeight="1" s="39"/>
    <row r="787" ht="15.75" customHeight="1" s="39"/>
    <row r="788" ht="15.75" customHeight="1" s="39"/>
    <row r="789" ht="15.75" customHeight="1" s="39"/>
    <row r="790" ht="15.75" customHeight="1" s="39"/>
    <row r="791" ht="15.75" customHeight="1" s="39"/>
    <row r="792" ht="15.75" customHeight="1" s="39"/>
    <row r="793" ht="15.75" customHeight="1" s="39"/>
    <row r="794" ht="15.75" customHeight="1" s="39"/>
    <row r="795" ht="15.75" customHeight="1" s="39"/>
    <row r="796" ht="15.75" customHeight="1" s="39"/>
    <row r="797" ht="15.75" customHeight="1" s="39"/>
    <row r="798" ht="15.75" customHeight="1" s="39"/>
    <row r="799" ht="15.75" customHeight="1" s="39"/>
    <row r="800" ht="15.75" customHeight="1" s="39"/>
    <row r="801" ht="15.75" customHeight="1" s="39"/>
    <row r="802" ht="15.75" customHeight="1" s="39"/>
    <row r="803" ht="15.75" customHeight="1" s="39"/>
    <row r="804" ht="15.75" customHeight="1" s="39"/>
    <row r="805" ht="15.75" customHeight="1" s="39"/>
    <row r="806" ht="15.75" customHeight="1" s="39"/>
    <row r="807" ht="15.75" customHeight="1" s="39"/>
    <row r="808" ht="15.75" customHeight="1" s="39"/>
    <row r="809" ht="15.75" customHeight="1" s="39"/>
    <row r="810" ht="15.75" customHeight="1" s="39"/>
    <row r="811" ht="15.75" customHeight="1" s="39"/>
    <row r="812" ht="15.75" customHeight="1" s="39"/>
    <row r="813" ht="15.75" customHeight="1" s="39"/>
    <row r="814" ht="15.75" customHeight="1" s="39"/>
    <row r="815" ht="15.75" customHeight="1" s="39"/>
    <row r="816" ht="15.75" customHeight="1" s="39"/>
    <row r="817" ht="15.75" customHeight="1" s="39"/>
    <row r="818" ht="15.75" customHeight="1" s="39"/>
    <row r="819" ht="15.75" customHeight="1" s="39"/>
    <row r="820" ht="15.75" customHeight="1" s="39"/>
    <row r="821" ht="15.75" customHeight="1" s="39"/>
    <row r="822" ht="15.75" customHeight="1" s="39"/>
    <row r="823" ht="15.75" customHeight="1" s="39"/>
    <row r="824" ht="15.75" customHeight="1" s="39"/>
    <row r="825" ht="15.75" customHeight="1" s="39"/>
    <row r="826" ht="15.75" customHeight="1" s="39"/>
    <row r="827" ht="15.75" customHeight="1" s="39"/>
    <row r="828" ht="15.75" customHeight="1" s="39"/>
    <row r="829" ht="15.75" customHeight="1" s="39"/>
    <row r="830" ht="15.75" customHeight="1" s="39"/>
    <row r="831" ht="15.75" customHeight="1" s="39"/>
    <row r="832" ht="15.75" customHeight="1" s="39"/>
    <row r="833" ht="15.75" customHeight="1" s="39"/>
    <row r="834" ht="15.75" customHeight="1" s="39"/>
    <row r="835" ht="15.75" customHeight="1" s="39"/>
    <row r="836" ht="15.75" customHeight="1" s="39"/>
    <row r="837" ht="15.75" customHeight="1" s="39"/>
    <row r="838" ht="15.75" customHeight="1" s="39"/>
    <row r="839" ht="15.75" customHeight="1" s="39"/>
    <row r="840" ht="15.75" customHeight="1" s="39"/>
    <row r="841" ht="15.75" customHeight="1" s="39"/>
    <row r="842" ht="15.75" customHeight="1" s="39"/>
    <row r="843" ht="15.75" customHeight="1" s="39"/>
    <row r="844" ht="15.75" customHeight="1" s="39"/>
    <row r="845" ht="15.75" customHeight="1" s="39"/>
    <row r="846" ht="15.75" customHeight="1" s="39"/>
    <row r="847" ht="15.75" customHeight="1" s="39"/>
    <row r="848" ht="15.75" customHeight="1" s="39"/>
    <row r="849" ht="15.75" customHeight="1" s="39"/>
    <row r="850" ht="15.75" customHeight="1" s="39"/>
    <row r="851" ht="15.75" customHeight="1" s="39"/>
    <row r="852" ht="15.75" customHeight="1" s="39"/>
    <row r="853" ht="15.75" customHeight="1" s="39"/>
    <row r="854" ht="15.75" customHeight="1" s="39"/>
    <row r="855" ht="15.75" customHeight="1" s="39"/>
    <row r="856" ht="15.75" customHeight="1" s="39"/>
    <row r="857" ht="15.75" customHeight="1" s="39"/>
    <row r="858" ht="15.75" customHeight="1" s="39"/>
    <row r="859" ht="15.75" customHeight="1" s="39"/>
    <row r="860" ht="15.75" customHeight="1" s="39"/>
    <row r="861" ht="15.75" customHeight="1" s="39"/>
    <row r="862" ht="15.75" customHeight="1" s="39"/>
    <row r="863" ht="15.75" customHeight="1" s="39"/>
    <row r="864" ht="15.75" customHeight="1" s="39"/>
    <row r="865" ht="15.75" customHeight="1" s="39"/>
    <row r="866" ht="15.75" customHeight="1" s="39"/>
    <row r="867" ht="15.75" customHeight="1" s="39"/>
    <row r="868" ht="15.75" customHeight="1" s="39"/>
    <row r="869" ht="15.75" customHeight="1" s="39"/>
    <row r="870" ht="15.75" customHeight="1" s="39"/>
    <row r="871" ht="15.75" customHeight="1" s="39"/>
    <row r="872" ht="15.75" customHeight="1" s="39"/>
    <row r="873" ht="15.75" customHeight="1" s="39"/>
    <row r="874" ht="15.75" customHeight="1" s="39"/>
    <row r="875" ht="15.75" customHeight="1" s="39"/>
    <row r="876" ht="15.75" customHeight="1" s="39"/>
    <row r="877" ht="15.75" customHeight="1" s="39"/>
    <row r="878" ht="15.75" customHeight="1" s="39"/>
    <row r="879" ht="15.75" customHeight="1" s="39"/>
    <row r="880" ht="15.75" customHeight="1" s="39"/>
    <row r="881" ht="15.75" customHeight="1" s="39"/>
    <row r="882" ht="15.75" customHeight="1" s="39"/>
    <row r="883" ht="15.75" customHeight="1" s="39"/>
    <row r="884" ht="15.75" customHeight="1" s="39"/>
    <row r="885" ht="15.75" customHeight="1" s="39"/>
    <row r="886" ht="15.75" customHeight="1" s="39"/>
    <row r="887" ht="15.75" customHeight="1" s="39"/>
    <row r="888" ht="15.75" customHeight="1" s="39"/>
    <row r="889" ht="15.75" customHeight="1" s="39"/>
    <row r="890" ht="15.75" customHeight="1" s="39"/>
    <row r="891" ht="15.75" customHeight="1" s="39"/>
    <row r="892" ht="15.75" customHeight="1" s="39"/>
    <row r="893" ht="15.75" customHeight="1" s="39"/>
    <row r="894" ht="15.75" customHeight="1" s="39"/>
    <row r="895" ht="15.75" customHeight="1" s="39"/>
    <row r="896" ht="15.75" customHeight="1" s="39"/>
    <row r="897" ht="15.75" customHeight="1" s="39"/>
    <row r="898" ht="15.75" customHeight="1" s="39"/>
    <row r="899" ht="15.75" customHeight="1" s="39"/>
    <row r="900" ht="15.75" customHeight="1" s="39"/>
    <row r="901" ht="15.75" customHeight="1" s="39"/>
    <row r="902" ht="15.75" customHeight="1" s="39"/>
    <row r="903" ht="15.75" customHeight="1" s="39"/>
    <row r="904" ht="15.75" customHeight="1" s="39"/>
    <row r="905" ht="15.75" customHeight="1" s="39"/>
    <row r="906" ht="15.75" customHeight="1" s="39"/>
    <row r="907" ht="15.75" customHeight="1" s="39"/>
    <row r="908" ht="15.75" customHeight="1" s="39"/>
    <row r="909" ht="15.75" customHeight="1" s="39"/>
    <row r="910" ht="15.75" customHeight="1" s="39"/>
    <row r="911" ht="15.75" customHeight="1" s="39"/>
    <row r="912" ht="15.75" customHeight="1" s="39"/>
    <row r="913" ht="15.75" customHeight="1" s="39"/>
    <row r="914" ht="15.75" customHeight="1" s="39"/>
    <row r="915" ht="15.75" customHeight="1" s="39"/>
    <row r="916" ht="15.75" customHeight="1" s="39"/>
    <row r="917" ht="15.75" customHeight="1" s="39"/>
    <row r="918" ht="15.75" customHeight="1" s="39"/>
    <row r="919" ht="15.75" customHeight="1" s="39"/>
    <row r="920" ht="15.75" customHeight="1" s="39"/>
    <row r="921" ht="15.75" customHeight="1" s="39"/>
    <row r="922" ht="15.75" customHeight="1" s="39"/>
    <row r="923" ht="15.75" customHeight="1" s="39"/>
    <row r="924" ht="15.75" customHeight="1" s="39"/>
    <row r="925" ht="15.75" customHeight="1" s="39"/>
    <row r="926" ht="15.75" customHeight="1" s="39"/>
    <row r="927" ht="15.75" customHeight="1" s="39"/>
    <row r="928" ht="15.75" customHeight="1" s="39"/>
    <row r="929" ht="15.75" customHeight="1" s="39"/>
    <row r="930" ht="15.75" customHeight="1" s="39"/>
    <row r="931" ht="15.75" customHeight="1" s="39"/>
    <row r="932" ht="15.75" customHeight="1" s="39"/>
    <row r="933" ht="15.75" customHeight="1" s="39"/>
    <row r="934" ht="15.75" customHeight="1" s="39"/>
    <row r="935" ht="15.75" customHeight="1" s="39"/>
    <row r="936" ht="15.75" customHeight="1" s="39"/>
    <row r="937" ht="15.75" customHeight="1" s="39"/>
    <row r="938" ht="15.75" customHeight="1" s="39"/>
    <row r="939" ht="15.75" customHeight="1" s="39"/>
    <row r="940" ht="15.75" customHeight="1" s="39"/>
    <row r="941" ht="15.75" customHeight="1" s="39"/>
    <row r="942" ht="15.75" customHeight="1" s="39"/>
    <row r="943" ht="15.75" customHeight="1" s="39"/>
    <row r="944" ht="15.75" customHeight="1" s="39"/>
    <row r="945" ht="15.75" customHeight="1" s="39"/>
    <row r="946" ht="15.75" customHeight="1" s="39"/>
    <row r="947" ht="15.75" customHeight="1" s="39"/>
    <row r="948" ht="15.75" customHeight="1" s="39"/>
    <row r="949" ht="15.75" customHeight="1" s="39"/>
    <row r="950" ht="15.75" customHeight="1" s="39"/>
    <row r="951" ht="15.75" customHeight="1" s="39"/>
    <row r="952" ht="15.75" customHeight="1" s="39"/>
    <row r="953" ht="15.75" customHeight="1" s="39"/>
    <row r="954" ht="15.75" customHeight="1" s="39"/>
    <row r="955" ht="15.75" customHeight="1" s="39"/>
    <row r="956" ht="15.75" customHeight="1" s="39"/>
    <row r="957" ht="15.75" customHeight="1" s="39"/>
    <row r="958" ht="15.75" customHeight="1" s="39"/>
    <row r="959" ht="15.75" customHeight="1" s="39"/>
    <row r="960" ht="15.75" customHeight="1" s="39"/>
    <row r="961" ht="15.75" customHeight="1" s="39"/>
    <row r="962" ht="15.75" customHeight="1" s="39"/>
    <row r="963" ht="15.75" customHeight="1" s="39"/>
    <row r="964" ht="15.75" customHeight="1" s="39"/>
    <row r="965" ht="15.75" customHeight="1" s="39"/>
    <row r="966" ht="15.75" customHeight="1" s="39"/>
    <row r="967" ht="15.75" customHeight="1" s="39"/>
    <row r="968" ht="15.75" customHeight="1" s="39"/>
    <row r="969" ht="15.75" customHeight="1" s="39"/>
    <row r="970" ht="15.75" customHeight="1" s="39"/>
    <row r="971" ht="15.75" customHeight="1" s="39"/>
    <row r="972" ht="15.75" customHeight="1" s="39"/>
    <row r="973" ht="15.75" customHeight="1" s="39"/>
    <row r="974" ht="15.75" customHeight="1" s="39"/>
    <row r="975" ht="15.75" customHeight="1" s="39"/>
    <row r="976" ht="15.75" customHeight="1" s="39"/>
    <row r="977" ht="15.75" customHeight="1" s="39"/>
    <row r="978" ht="15.75" customHeight="1" s="39"/>
    <row r="979" ht="15.75" customHeight="1" s="39"/>
    <row r="980" ht="15.75" customHeight="1" s="39"/>
    <row r="981" ht="15.75" customHeight="1" s="39"/>
    <row r="982" ht="15.75" customHeight="1" s="39"/>
    <row r="983" ht="15.75" customHeight="1" s="39"/>
    <row r="984" ht="15.75" customHeight="1" s="39"/>
    <row r="985" ht="15.75" customHeight="1" s="39"/>
    <row r="986" ht="15.75" customHeight="1" s="39"/>
    <row r="987" ht="15.75" customHeight="1" s="39"/>
    <row r="988" ht="15.75" customHeight="1" s="39"/>
    <row r="989" ht="15.75" customHeight="1" s="39"/>
    <row r="990" ht="15.75" customHeight="1" s="39"/>
    <row r="991" ht="15.75" customHeight="1" s="39"/>
    <row r="992" ht="15.75" customHeight="1" s="39"/>
    <row r="993" ht="15.75" customHeight="1" s="39"/>
    <row r="994" ht="15.75" customHeight="1" s="39"/>
    <row r="995" ht="15.75" customHeight="1" s="39"/>
    <row r="996" ht="15.75" customHeight="1" s="39"/>
    <row r="997" ht="15.75" customHeight="1" s="39"/>
    <row r="998" ht="15.75" customHeight="1" s="39"/>
    <row r="999" ht="15.75" customHeight="1" s="39"/>
    <row r="1000" ht="15.75" customHeight="1" s="39"/>
  </sheetData>
  <mergeCells count="1">
    <mergeCell ref="A2:G2"/>
  </mergeCells>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G646"/>
  <sheetViews>
    <sheetView workbookViewId="0">
      <pane ySplit="4" topLeftCell="A5" activePane="bottomLeft" state="frozen"/>
      <selection pane="bottomLeft" activeCell="B6" sqref="B6"/>
    </sheetView>
  </sheetViews>
  <sheetFormatPr baseColWidth="8" defaultColWidth="14.43" defaultRowHeight="15" customHeight="1"/>
  <cols>
    <col width="14" customWidth="1" style="39" min="1" max="1"/>
    <col width="32" customWidth="1" style="39" min="2" max="2"/>
    <col width="14" customWidth="1" style="39" min="3" max="5"/>
    <col width="27.57" customWidth="1" style="39" min="6" max="6"/>
    <col width="22" customWidth="1" style="39" min="7" max="7"/>
    <col width="8.710000000000001" customWidth="1" style="39" min="8" max="26"/>
  </cols>
  <sheetData>
    <row r="1">
      <c r="A1" s="16" t="inlineStr">
        <is>
          <t>Imports — Barclay</t>
        </is>
      </c>
    </row>
    <row r="2">
      <c r="A2" s="4" t="inlineStr">
        <is>
          <t>Paste Barclaycard CSV (skip header rows above 'Transaction Date').</t>
        </is>
      </c>
    </row>
    <row r="4">
      <c r="A4" s="5" t="inlineStr">
        <is>
          <t>Transaction Date</t>
        </is>
      </c>
      <c r="B4" s="5" t="inlineStr">
        <is>
          <t>Description</t>
        </is>
      </c>
      <c r="C4" s="5" t="inlineStr">
        <is>
          <t>Category</t>
        </is>
      </c>
      <c r="D4" s="5" t="inlineStr">
        <is>
          <t>Amount</t>
        </is>
      </c>
      <c r="E4" s="5" t="inlineStr">
        <is>
          <t>Card Last 4 Digits</t>
        </is>
      </c>
      <c r="F4" s="5" t="inlineStr">
        <is>
          <t>Purchased by</t>
        </is>
      </c>
      <c r="G4" s="5" t="inlineStr">
        <is>
          <t>→ Category (auto)</t>
        </is>
      </c>
    </row>
    <row r="5">
      <c r="A5" s="34" t="n"/>
      <c r="B5" s="33" t="n"/>
      <c r="C5" s="33" t="n"/>
      <c r="D5" s="32" t="n"/>
      <c r="E5" s="33" t="n"/>
      <c r="F5" s="33" t="n"/>
      <c r="G5" s="33" t="n"/>
    </row>
    <row r="6">
      <c r="A6" s="34" t="n"/>
      <c r="B6" s="33" t="n"/>
      <c r="C6" s="33" t="n"/>
      <c r="D6" s="32" t="n"/>
      <c r="E6" s="33" t="n"/>
      <c r="F6" s="33" t="n"/>
      <c r="G6" s="33" t="n"/>
    </row>
    <row r="7">
      <c r="A7" s="34" t="n"/>
      <c r="B7" s="33" t="n"/>
      <c r="C7" s="33" t="n"/>
      <c r="D7" s="32" t="n"/>
      <c r="E7" s="33" t="n"/>
      <c r="F7" s="33" t="n"/>
      <c r="G7" s="33" t="n"/>
    </row>
    <row r="8">
      <c r="A8" s="34" t="n"/>
      <c r="B8" s="33" t="n"/>
      <c r="C8" s="33" t="n"/>
      <c r="D8" s="32" t="n"/>
      <c r="E8" s="33" t="n"/>
      <c r="F8" s="33" t="n"/>
      <c r="G8" s="33" t="n"/>
    </row>
    <row r="9">
      <c r="A9" s="34" t="n"/>
      <c r="B9" s="33" t="n"/>
      <c r="C9" s="33" t="n"/>
      <c r="D9" s="32" t="n"/>
      <c r="E9" s="33" t="n"/>
      <c r="F9" s="33" t="n"/>
      <c r="G9" s="33" t="n"/>
    </row>
    <row r="10">
      <c r="A10" s="34" t="n"/>
      <c r="B10" s="33" t="n"/>
      <c r="C10" s="33" t="n"/>
      <c r="D10" s="32" t="n"/>
      <c r="E10" s="33" t="n"/>
      <c r="F10" s="33" t="n"/>
      <c r="G10" s="33" t="n"/>
    </row>
    <row r="11">
      <c r="A11" s="34" t="n"/>
      <c r="B11" s="33" t="n"/>
      <c r="C11" s="33" t="n"/>
      <c r="D11" s="32" t="n"/>
      <c r="E11" s="33" t="n"/>
      <c r="F11" s="33" t="n"/>
      <c r="G11" s="33" t="n"/>
    </row>
    <row r="12">
      <c r="A12" s="34" t="n"/>
      <c r="B12" s="33" t="n"/>
      <c r="C12" s="33" t="n"/>
      <c r="D12" s="32" t="n"/>
      <c r="E12" s="33" t="n"/>
      <c r="F12" s="33" t="n"/>
      <c r="G12" s="33" t="n"/>
    </row>
    <row r="13">
      <c r="A13" s="34" t="n"/>
      <c r="B13" s="33" t="n"/>
      <c r="C13" s="33" t="n"/>
      <c r="D13" s="32" t="n"/>
      <c r="E13" s="33" t="n"/>
      <c r="F13" s="33" t="n"/>
      <c r="G13" s="33" t="n"/>
    </row>
    <row r="14">
      <c r="A14" s="34" t="n"/>
      <c r="B14" s="33" t="n"/>
      <c r="C14" s="33" t="n"/>
      <c r="D14" s="32" t="n"/>
      <c r="E14" s="33" t="n"/>
      <c r="F14" s="33" t="n"/>
      <c r="G14" s="33" t="n"/>
    </row>
    <row r="15">
      <c r="A15" s="34" t="n"/>
      <c r="B15" s="33" t="n"/>
      <c r="C15" s="33" t="n"/>
      <c r="D15" s="32" t="n"/>
      <c r="E15" s="33" t="n"/>
      <c r="F15" s="33" t="n"/>
      <c r="G15" s="33" t="n"/>
    </row>
    <row r="16">
      <c r="A16" s="34" t="n"/>
      <c r="B16" s="33" t="n"/>
      <c r="C16" s="33" t="n"/>
      <c r="D16" s="32" t="n"/>
      <c r="E16" s="33" t="n"/>
      <c r="F16" s="33" t="n"/>
      <c r="G16" s="33" t="n"/>
    </row>
    <row r="17">
      <c r="A17" s="34" t="n"/>
      <c r="B17" s="33" t="n"/>
      <c r="C17" s="33" t="n"/>
      <c r="D17" s="32" t="n"/>
      <c r="E17" s="33" t="n"/>
      <c r="F17" s="33" t="n"/>
      <c r="G17" s="33" t="n"/>
    </row>
    <row r="18">
      <c r="A18" s="34" t="n"/>
      <c r="B18" s="33" t="n"/>
      <c r="C18" s="33" t="n"/>
      <c r="D18" s="32" t="n"/>
      <c r="E18" s="33" t="n"/>
      <c r="F18" s="33" t="n"/>
      <c r="G18" s="33" t="n"/>
    </row>
    <row r="19">
      <c r="A19" s="34" t="n"/>
      <c r="B19" s="33" t="n"/>
      <c r="C19" s="33" t="n"/>
      <c r="D19" s="32" t="n"/>
      <c r="E19" s="33" t="n"/>
      <c r="F19" s="33" t="n"/>
      <c r="G19" s="33" t="n"/>
    </row>
    <row r="20">
      <c r="A20" s="34" t="n"/>
      <c r="B20" s="33" t="n"/>
      <c r="C20" s="33" t="n"/>
      <c r="D20" s="32" t="n"/>
      <c r="E20" s="33" t="n"/>
      <c r="F20" s="33" t="n"/>
      <c r="G20" s="33" t="n"/>
    </row>
    <row r="21" ht="15.75" customHeight="1" s="39">
      <c r="A21" s="34" t="n"/>
      <c r="B21" s="33" t="n"/>
      <c r="C21" s="33" t="n"/>
      <c r="D21" s="32" t="n"/>
      <c r="E21" s="33" t="n"/>
      <c r="F21" s="33" t="n"/>
      <c r="G21" s="33" t="n"/>
    </row>
    <row r="22" ht="15.75" customHeight="1" s="39">
      <c r="A22" s="34" t="n"/>
      <c r="B22" s="33" t="n"/>
      <c r="C22" s="33" t="n"/>
      <c r="D22" s="32" t="n"/>
      <c r="E22" s="33" t="n"/>
      <c r="F22" s="33" t="n"/>
      <c r="G22" s="33" t="n"/>
    </row>
    <row r="23" ht="15.75" customHeight="1" s="39">
      <c r="A23" s="34" t="n"/>
      <c r="B23" s="33" t="n"/>
      <c r="C23" s="33" t="n"/>
      <c r="D23" s="32" t="n"/>
      <c r="E23" s="33" t="n"/>
      <c r="F23" s="33" t="n"/>
      <c r="G23" s="33" t="n"/>
    </row>
    <row r="24" ht="15.75" customHeight="1" s="39">
      <c r="A24" s="34" t="n"/>
      <c r="B24" s="33" t="n"/>
      <c r="C24" s="33" t="n"/>
      <c r="D24" s="32" t="n"/>
      <c r="E24" s="33" t="n"/>
      <c r="F24" s="33" t="n"/>
      <c r="G24" s="33" t="n"/>
    </row>
    <row r="25" ht="15.75" customHeight="1" s="39">
      <c r="A25" s="34" t="n"/>
      <c r="B25" s="33" t="n"/>
      <c r="C25" s="33" t="n"/>
      <c r="D25" s="32" t="n"/>
      <c r="E25" s="33" t="n"/>
      <c r="F25" s="33" t="n"/>
      <c r="G25" s="33" t="n"/>
    </row>
    <row r="26" ht="15.75" customHeight="1" s="39">
      <c r="A26" s="34" t="n"/>
      <c r="B26" s="33" t="n"/>
      <c r="C26" s="33" t="n"/>
      <c r="D26" s="32" t="n"/>
      <c r="E26" s="33" t="n"/>
      <c r="F26" s="33" t="n"/>
      <c r="G26" s="33" t="n"/>
    </row>
    <row r="27" ht="15.75" customHeight="1" s="39">
      <c r="A27" s="34" t="n"/>
      <c r="B27" s="35" t="n"/>
      <c r="C27" s="33" t="n"/>
      <c r="D27" s="32" t="n"/>
      <c r="E27" s="33" t="n"/>
      <c r="F27" s="33" t="n"/>
      <c r="G27" s="33" t="n"/>
    </row>
    <row r="28" ht="15.75" customHeight="1" s="39">
      <c r="A28" s="34" t="n"/>
      <c r="B28" s="33" t="n"/>
      <c r="C28" s="33" t="n"/>
      <c r="D28" s="32" t="n"/>
      <c r="E28" s="33" t="n"/>
      <c r="F28" s="33" t="n"/>
      <c r="G28" s="33" t="n"/>
    </row>
    <row r="29" ht="15.75" customHeight="1" s="39">
      <c r="A29" s="34" t="n"/>
      <c r="B29" s="33" t="n"/>
      <c r="C29" s="33" t="n"/>
      <c r="D29" s="32" t="n"/>
      <c r="E29" s="33" t="n"/>
      <c r="F29" s="33" t="n"/>
      <c r="G29" s="33" t="n"/>
    </row>
    <row r="30" ht="15.75" customHeight="1" s="39">
      <c r="A30" s="34" t="n"/>
      <c r="B30" s="33" t="n"/>
      <c r="C30" s="33" t="n"/>
      <c r="D30" s="32" t="n"/>
      <c r="E30" s="33" t="n"/>
      <c r="F30" s="33" t="n"/>
      <c r="G30" s="33" t="n"/>
    </row>
    <row r="31" ht="15.75" customHeight="1" s="39">
      <c r="A31" s="34" t="n"/>
      <c r="B31" s="33" t="n"/>
      <c r="C31" s="33" t="n"/>
      <c r="D31" s="32" t="n"/>
      <c r="E31" s="33" t="n"/>
      <c r="F31" s="33" t="n"/>
      <c r="G31" s="33" t="n"/>
    </row>
    <row r="32" ht="15.75" customHeight="1" s="39">
      <c r="A32" s="34" t="n"/>
      <c r="B32" s="33" t="n"/>
      <c r="C32" s="33" t="n"/>
      <c r="D32" s="32" t="n"/>
      <c r="E32" s="33" t="n"/>
      <c r="F32" s="33" t="n"/>
      <c r="G32" s="33" t="n"/>
    </row>
    <row r="33" ht="15.75" customHeight="1" s="39">
      <c r="A33" s="34" t="n"/>
      <c r="B33" s="33" t="n"/>
      <c r="C33" s="33" t="n"/>
      <c r="D33" s="32" t="n"/>
      <c r="E33" s="33" t="n"/>
      <c r="F33" s="33" t="n"/>
      <c r="G33" s="33" t="n"/>
    </row>
    <row r="34" ht="15.75" customHeight="1" s="39">
      <c r="A34" s="34" t="n"/>
      <c r="B34" s="33" t="n"/>
      <c r="C34" s="33" t="n"/>
      <c r="D34" s="32" t="n"/>
      <c r="E34" s="33" t="n"/>
      <c r="F34" s="33" t="n"/>
      <c r="G34" s="33" t="n"/>
    </row>
    <row r="35" ht="15.75" customHeight="1" s="39">
      <c r="A35" s="34" t="n"/>
      <c r="B35" s="33" t="n"/>
      <c r="C35" s="33" t="n"/>
      <c r="D35" s="32" t="n"/>
      <c r="E35" s="33" t="n"/>
      <c r="F35" s="33" t="n"/>
      <c r="G35" s="33" t="n"/>
    </row>
    <row r="36" ht="15.75" customHeight="1" s="39">
      <c r="A36" s="34" t="n"/>
      <c r="B36" s="33" t="n"/>
      <c r="C36" s="33" t="n"/>
      <c r="D36" s="32" t="n"/>
      <c r="E36" s="33" t="n"/>
      <c r="F36" s="33" t="n"/>
      <c r="G36" s="33" t="n"/>
    </row>
    <row r="37" ht="15.75" customHeight="1" s="39">
      <c r="A37" s="34" t="n"/>
      <c r="B37" s="33" t="n"/>
      <c r="C37" s="33" t="n"/>
      <c r="D37" s="32" t="n"/>
      <c r="E37" s="33" t="n"/>
      <c r="F37" s="33" t="n"/>
      <c r="G37" s="33" t="n"/>
    </row>
    <row r="38" ht="15.75" customHeight="1" s="39">
      <c r="A38" s="34" t="n"/>
      <c r="B38" s="33" t="n"/>
      <c r="C38" s="33" t="n"/>
      <c r="D38" s="32" t="n"/>
      <c r="E38" s="33" t="n"/>
      <c r="F38" s="33" t="n"/>
      <c r="G38" s="33" t="n"/>
    </row>
    <row r="39" ht="15.75" customHeight="1" s="39">
      <c r="A39" s="34" t="n"/>
      <c r="B39" s="33" t="n"/>
      <c r="C39" s="33" t="n"/>
      <c r="D39" s="32" t="n"/>
      <c r="E39" s="33" t="n"/>
      <c r="F39" s="33" t="n"/>
      <c r="G39" s="33" t="n"/>
    </row>
    <row r="40" ht="15.75" customHeight="1" s="39">
      <c r="A40" s="34" t="n"/>
      <c r="B40" s="33" t="n"/>
      <c r="C40" s="33" t="n"/>
      <c r="D40" s="32" t="n"/>
      <c r="E40" s="33" t="n"/>
      <c r="F40" s="33" t="n"/>
      <c r="G40" s="33" t="n"/>
    </row>
    <row r="41" ht="15.75" customHeight="1" s="39">
      <c r="A41" s="34" t="n"/>
      <c r="B41" s="33" t="n"/>
      <c r="C41" s="33" t="n"/>
      <c r="D41" s="32" t="n"/>
      <c r="E41" s="33" t="n"/>
      <c r="F41" s="33" t="n"/>
      <c r="G41" s="33" t="n"/>
    </row>
    <row r="42" ht="15.75" customHeight="1" s="39">
      <c r="A42" s="34" t="n"/>
      <c r="B42" s="33" t="n"/>
      <c r="C42" s="33" t="n"/>
      <c r="D42" s="32" t="n"/>
      <c r="E42" s="33" t="n"/>
      <c r="F42" s="33" t="n"/>
      <c r="G42" s="33" t="n"/>
    </row>
    <row r="43" ht="15.75" customHeight="1" s="39">
      <c r="A43" s="34" t="n"/>
      <c r="B43" s="33" t="n"/>
      <c r="C43" s="33" t="n"/>
      <c r="D43" s="32" t="n"/>
      <c r="E43" s="33" t="n"/>
      <c r="F43" s="33" t="n"/>
      <c r="G43" s="33" t="n"/>
    </row>
    <row r="44" ht="15.75" customHeight="1" s="39">
      <c r="A44" s="34" t="n"/>
      <c r="B44" s="33" t="n"/>
      <c r="C44" s="33" t="n"/>
      <c r="D44" s="32" t="n"/>
      <c r="E44" s="33" t="n"/>
      <c r="F44" s="33" t="n"/>
      <c r="G44" s="33" t="n"/>
    </row>
    <row r="45" ht="15.75" customHeight="1" s="39">
      <c r="A45" s="34" t="n"/>
      <c r="B45" s="33" t="n"/>
      <c r="C45" s="33" t="n"/>
      <c r="D45" s="32" t="n"/>
      <c r="E45" s="33" t="n"/>
      <c r="F45" s="33" t="n"/>
      <c r="G45" s="33" t="n"/>
    </row>
    <row r="46" ht="15.75" customHeight="1" s="39">
      <c r="A46" s="34" t="n"/>
      <c r="B46" s="33" t="n"/>
      <c r="C46" s="33" t="n"/>
      <c r="D46" s="32" t="n"/>
      <c r="E46" s="33" t="n"/>
      <c r="F46" s="33" t="n"/>
      <c r="G46" s="33" t="n"/>
    </row>
    <row r="47" ht="15.75" customHeight="1" s="39">
      <c r="A47" s="34" t="n"/>
      <c r="B47" s="33" t="n"/>
      <c r="C47" s="33" t="n"/>
      <c r="D47" s="32" t="n"/>
      <c r="E47" s="33" t="n"/>
      <c r="F47" s="33" t="n"/>
      <c r="G47" s="33" t="n"/>
    </row>
    <row r="48" ht="15.75" customHeight="1" s="39">
      <c r="A48" s="34" t="n"/>
      <c r="B48" s="33" t="n"/>
      <c r="C48" s="33" t="n"/>
      <c r="D48" s="32" t="n"/>
      <c r="E48" s="33" t="n"/>
      <c r="F48" s="33" t="n"/>
      <c r="G48" s="33" t="n"/>
    </row>
    <row r="49" ht="15.75" customHeight="1" s="39">
      <c r="A49" s="34" t="n"/>
      <c r="B49" s="33" t="n"/>
      <c r="C49" s="33" t="n"/>
      <c r="D49" s="32" t="n"/>
      <c r="E49" s="33" t="n"/>
      <c r="F49" s="33" t="n"/>
      <c r="G49" s="33" t="n"/>
    </row>
    <row r="50" ht="15.75" customHeight="1" s="39">
      <c r="A50" s="34" t="n"/>
      <c r="B50" s="33" t="n"/>
      <c r="C50" s="33" t="n"/>
      <c r="D50" s="32" t="n"/>
      <c r="E50" s="33" t="n"/>
      <c r="F50" s="33" t="n"/>
      <c r="G50" s="33" t="n"/>
    </row>
    <row r="51" ht="15.75" customHeight="1" s="39">
      <c r="A51" s="34" t="n"/>
      <c r="B51" s="33" t="n"/>
      <c r="C51" s="33" t="n"/>
      <c r="D51" s="32" t="n"/>
      <c r="E51" s="33" t="n"/>
      <c r="F51" s="33" t="n"/>
      <c r="G51" s="33" t="n"/>
    </row>
    <row r="52" ht="15.75" customHeight="1" s="39">
      <c r="A52" s="34" t="n"/>
      <c r="B52" s="33" t="n"/>
      <c r="C52" s="33" t="n"/>
      <c r="D52" s="32" t="n"/>
      <c r="E52" s="33" t="n"/>
      <c r="F52" s="33" t="n"/>
      <c r="G52" s="33" t="n"/>
    </row>
    <row r="53" ht="15.75" customHeight="1" s="39">
      <c r="A53" s="34" t="n"/>
      <c r="B53" s="33" t="n"/>
      <c r="C53" s="33" t="n"/>
      <c r="D53" s="32" t="n"/>
      <c r="E53" s="33" t="n"/>
      <c r="F53" s="33" t="n"/>
      <c r="G53" s="33" t="n"/>
    </row>
    <row r="54" ht="15.75" customHeight="1" s="39">
      <c r="A54" s="34" t="n"/>
      <c r="B54" s="33" t="n"/>
      <c r="C54" s="33" t="n"/>
      <c r="D54" s="32" t="n"/>
      <c r="E54" s="33" t="n"/>
      <c r="F54" s="33" t="n"/>
      <c r="G54" s="33" t="n"/>
    </row>
    <row r="55" ht="15.75" customHeight="1" s="39">
      <c r="A55" s="34" t="n"/>
      <c r="B55" s="33" t="n"/>
      <c r="C55" s="33" t="n"/>
      <c r="D55" s="32" t="n"/>
      <c r="E55" s="33" t="n"/>
      <c r="F55" s="33" t="n"/>
      <c r="G55" s="33" t="n"/>
    </row>
    <row r="56" ht="15.75" customHeight="1" s="39">
      <c r="A56" s="34" t="n"/>
      <c r="B56" s="33" t="n"/>
      <c r="C56" s="33" t="n"/>
      <c r="D56" s="32" t="n"/>
      <c r="E56" s="33" t="n"/>
      <c r="F56" s="33" t="n"/>
      <c r="G56" s="33" t="n"/>
    </row>
    <row r="57" ht="15.75" customHeight="1" s="39">
      <c r="A57" s="34" t="n"/>
      <c r="B57" s="33" t="n"/>
      <c r="C57" s="33" t="n"/>
      <c r="D57" s="32" t="n"/>
      <c r="E57" s="33" t="n"/>
      <c r="F57" s="33" t="n"/>
      <c r="G57" s="33" t="n"/>
    </row>
    <row r="58" ht="15.75" customHeight="1" s="39">
      <c r="A58" s="34" t="n"/>
      <c r="B58" s="33" t="n"/>
      <c r="C58" s="33" t="n"/>
      <c r="D58" s="32" t="n"/>
      <c r="E58" s="33" t="n"/>
      <c r="F58" s="33" t="n"/>
      <c r="G58" s="33" t="n"/>
    </row>
    <row r="59" ht="15.75" customHeight="1" s="39">
      <c r="A59" s="34" t="n"/>
      <c r="B59" s="33" t="n"/>
      <c r="C59" s="33" t="n"/>
      <c r="D59" s="32" t="n"/>
      <c r="E59" s="33" t="n"/>
      <c r="F59" s="33" t="n"/>
      <c r="G59" s="33" t="n"/>
    </row>
    <row r="60" ht="15.75" customHeight="1" s="39">
      <c r="A60" s="34" t="n"/>
      <c r="B60" s="33" t="n"/>
      <c r="C60" s="33" t="n"/>
      <c r="D60" s="32" t="n"/>
      <c r="E60" s="33" t="n"/>
      <c r="F60" s="33" t="n"/>
      <c r="G60" s="33" t="n"/>
    </row>
    <row r="61" ht="15.75" customHeight="1" s="39">
      <c r="A61" s="34" t="n"/>
      <c r="B61" s="33" t="n"/>
      <c r="C61" s="33" t="n"/>
      <c r="D61" s="32" t="n"/>
      <c r="E61" s="33" t="n"/>
      <c r="F61" s="33" t="n"/>
      <c r="G61" s="33" t="n"/>
    </row>
    <row r="62" ht="15.75" customHeight="1" s="39">
      <c r="A62" s="34" t="n"/>
      <c r="B62" s="33" t="n"/>
      <c r="C62" s="33" t="n"/>
      <c r="D62" s="32" t="n"/>
      <c r="E62" s="33" t="n"/>
      <c r="F62" s="33" t="n"/>
      <c r="G62" s="33" t="n"/>
    </row>
    <row r="63" ht="15.75" customHeight="1" s="39">
      <c r="A63" s="34" t="n"/>
      <c r="B63" s="33" t="n"/>
      <c r="C63" s="33" t="n"/>
      <c r="D63" s="32" t="n"/>
      <c r="E63" s="33" t="n"/>
      <c r="F63" s="33" t="n"/>
      <c r="G63" s="33" t="n"/>
    </row>
    <row r="64" ht="15.75" customHeight="1" s="39">
      <c r="A64" s="34" t="n"/>
      <c r="B64" s="33" t="n"/>
      <c r="C64" s="33" t="n"/>
      <c r="D64" s="32" t="n"/>
      <c r="E64" s="33" t="n"/>
      <c r="F64" s="33" t="n"/>
      <c r="G64" s="33" t="n"/>
    </row>
    <row r="65" ht="15.75" customHeight="1" s="39">
      <c r="A65" s="34" t="n"/>
      <c r="B65" s="33" t="n"/>
      <c r="C65" s="33" t="n"/>
      <c r="D65" s="32" t="n"/>
      <c r="E65" s="33" t="n"/>
      <c r="F65" s="33" t="n"/>
      <c r="G65" s="33" t="n"/>
    </row>
    <row r="66" ht="15.75" customHeight="1" s="39">
      <c r="A66" s="34" t="n"/>
      <c r="B66" s="33" t="n"/>
      <c r="C66" s="33" t="n"/>
      <c r="D66" s="32" t="n"/>
      <c r="E66" s="33" t="n"/>
      <c r="F66" s="33" t="n"/>
      <c r="G66" s="33" t="n"/>
    </row>
    <row r="67" ht="15.75" customHeight="1" s="39">
      <c r="A67" s="34" t="n"/>
      <c r="B67" s="33" t="n"/>
      <c r="C67" s="33" t="n"/>
      <c r="D67" s="32" t="n"/>
      <c r="E67" s="33" t="n"/>
      <c r="F67" s="33" t="n"/>
      <c r="G67" s="33" t="n"/>
    </row>
    <row r="68" ht="15.75" customHeight="1" s="39">
      <c r="A68" s="34" t="n"/>
      <c r="B68" s="33" t="n"/>
      <c r="C68" s="33" t="n"/>
      <c r="D68" s="32" t="n"/>
      <c r="E68" s="33" t="n"/>
      <c r="F68" s="33" t="n"/>
      <c r="G68" s="33" t="n"/>
    </row>
    <row r="69" ht="15.75" customHeight="1" s="39">
      <c r="A69" s="34" t="n"/>
      <c r="B69" s="33" t="n"/>
      <c r="C69" s="33" t="n"/>
      <c r="D69" s="32" t="n"/>
      <c r="E69" s="33" t="n"/>
      <c r="F69" s="33" t="n"/>
      <c r="G69" s="33" t="n"/>
    </row>
    <row r="70" ht="15.75" customHeight="1" s="39">
      <c r="A70" s="34" t="n"/>
      <c r="B70" s="33" t="n"/>
      <c r="C70" s="33" t="n"/>
      <c r="D70" s="32" t="n"/>
      <c r="E70" s="33" t="n"/>
      <c r="F70" s="33" t="n"/>
      <c r="G70" s="33" t="n"/>
    </row>
    <row r="71" ht="15.75" customHeight="1" s="39">
      <c r="A71" s="34" t="n"/>
      <c r="B71" s="33" t="n"/>
      <c r="C71" s="33" t="n"/>
      <c r="D71" s="32" t="n"/>
      <c r="E71" s="33" t="n"/>
      <c r="F71" s="33" t="n"/>
      <c r="G71" s="33" t="n"/>
    </row>
    <row r="72" ht="15.75" customHeight="1" s="39">
      <c r="A72" s="34" t="n"/>
      <c r="B72" s="33" t="n"/>
      <c r="C72" s="33" t="n"/>
      <c r="D72" s="32" t="n"/>
      <c r="E72" s="33" t="n"/>
      <c r="F72" s="33" t="n"/>
      <c r="G72" s="33" t="n"/>
    </row>
    <row r="73" ht="15.75" customHeight="1" s="39">
      <c r="A73" s="34" t="n"/>
      <c r="B73" s="33" t="n"/>
      <c r="C73" s="33" t="n"/>
      <c r="D73" s="32" t="n"/>
      <c r="E73" s="33" t="n"/>
      <c r="F73" s="33" t="n"/>
      <c r="G73" s="33" t="n"/>
    </row>
    <row r="74" ht="15.75" customHeight="1" s="39">
      <c r="A74" s="34" t="n"/>
      <c r="B74" s="33" t="n"/>
      <c r="C74" s="33" t="n"/>
      <c r="D74" s="32" t="n"/>
      <c r="E74" s="33" t="n"/>
      <c r="F74" s="33" t="n"/>
      <c r="G74" s="33" t="n"/>
    </row>
    <row r="75" ht="15.75" customHeight="1" s="39">
      <c r="A75" s="34" t="n"/>
      <c r="B75" s="33" t="n"/>
      <c r="C75" s="33" t="n"/>
      <c r="D75" s="32" t="n"/>
      <c r="E75" s="33" t="n"/>
      <c r="F75" s="33" t="n"/>
      <c r="G75" s="33" t="n"/>
    </row>
    <row r="76" ht="15.75" customHeight="1" s="39">
      <c r="A76" s="34" t="n"/>
      <c r="B76" s="33" t="n"/>
      <c r="C76" s="33" t="n"/>
      <c r="D76" s="32" t="n"/>
      <c r="E76" s="33" t="n"/>
      <c r="F76" s="33" t="n"/>
      <c r="G76" s="33" t="n"/>
    </row>
    <row r="77" ht="15.75" customHeight="1" s="39">
      <c r="A77" s="34" t="n"/>
      <c r="B77" s="33" t="n"/>
      <c r="C77" s="33" t="n"/>
      <c r="D77" s="32" t="n"/>
      <c r="E77" s="33" t="n"/>
      <c r="F77" s="33" t="n"/>
      <c r="G77" s="33" t="n"/>
    </row>
    <row r="78" ht="15.75" customHeight="1" s="39">
      <c r="A78" s="34" t="n"/>
      <c r="B78" s="33" t="n"/>
      <c r="C78" s="33" t="n"/>
      <c r="D78" s="32" t="n"/>
      <c r="E78" s="33" t="n"/>
      <c r="F78" s="33" t="n"/>
      <c r="G78" s="33" t="n"/>
    </row>
    <row r="79" ht="15.75" customHeight="1" s="39">
      <c r="A79" s="34" t="n"/>
      <c r="B79" s="33" t="n"/>
      <c r="C79" s="33" t="n"/>
      <c r="D79" s="32" t="n"/>
      <c r="E79" s="33" t="n"/>
      <c r="F79" s="33" t="n"/>
      <c r="G79" s="33" t="n"/>
    </row>
    <row r="80" ht="15.75" customHeight="1" s="39">
      <c r="A80" s="34" t="n"/>
      <c r="B80" s="33" t="n"/>
      <c r="C80" s="33" t="n"/>
      <c r="D80" s="32" t="n"/>
      <c r="E80" s="33" t="n"/>
      <c r="F80" s="33" t="n"/>
      <c r="G80" s="33" t="n"/>
    </row>
    <row r="81" ht="15.75" customHeight="1" s="39">
      <c r="A81" s="34" t="n"/>
      <c r="B81" s="33" t="n"/>
      <c r="C81" s="33" t="n"/>
      <c r="D81" s="32" t="n"/>
      <c r="E81" s="33" t="n"/>
      <c r="F81" s="33" t="n"/>
      <c r="G81" s="33" t="n"/>
    </row>
    <row r="82" ht="15.75" customHeight="1" s="39">
      <c r="A82" s="34" t="n"/>
      <c r="B82" s="33" t="n"/>
      <c r="C82" s="33" t="n"/>
      <c r="D82" s="32" t="n"/>
      <c r="E82" s="33" t="n"/>
      <c r="F82" s="33" t="n"/>
      <c r="G82" s="33" t="n"/>
    </row>
    <row r="83" ht="15.75" customHeight="1" s="39">
      <c r="A83" s="34" t="n"/>
      <c r="B83" s="33" t="n"/>
      <c r="C83" s="33" t="n"/>
      <c r="D83" s="32" t="n"/>
      <c r="E83" s="33" t="n"/>
      <c r="F83" s="33" t="n"/>
      <c r="G83" s="33" t="n"/>
    </row>
    <row r="84" ht="15.75" customHeight="1" s="39">
      <c r="A84" s="34" t="n"/>
      <c r="B84" s="33" t="n"/>
      <c r="C84" s="33" t="n"/>
      <c r="D84" s="32" t="n"/>
      <c r="E84" s="33" t="n"/>
      <c r="F84" s="33" t="n"/>
      <c r="G84" s="33" t="n"/>
    </row>
    <row r="85" ht="15.75" customHeight="1" s="39">
      <c r="A85" s="34" t="n"/>
      <c r="B85" s="33" t="n"/>
      <c r="C85" s="33" t="n"/>
      <c r="D85" s="32" t="n"/>
      <c r="E85" s="33" t="n"/>
      <c r="F85" s="33" t="n"/>
      <c r="G85" s="33" t="n"/>
    </row>
    <row r="86" ht="15.75" customHeight="1" s="39">
      <c r="A86" s="34" t="n"/>
      <c r="B86" s="33" t="n"/>
      <c r="C86" s="33" t="n"/>
      <c r="D86" s="32" t="n"/>
      <c r="E86" s="33" t="n"/>
      <c r="F86" s="33" t="n"/>
      <c r="G86" s="33" t="n"/>
    </row>
    <row r="87" ht="15.75" customHeight="1" s="39">
      <c r="A87" s="34" t="n"/>
      <c r="B87" s="33" t="n"/>
      <c r="C87" s="33" t="n"/>
      <c r="D87" s="32" t="n"/>
      <c r="E87" s="33" t="n"/>
      <c r="F87" s="33" t="n"/>
      <c r="G87" s="33" t="n"/>
    </row>
    <row r="88" ht="15.75" customHeight="1" s="39">
      <c r="A88" s="34" t="n"/>
      <c r="B88" s="33" t="n"/>
      <c r="C88" s="33" t="n"/>
      <c r="D88" s="32" t="n"/>
      <c r="E88" s="33" t="n"/>
      <c r="F88" s="33" t="n"/>
      <c r="G88" s="33" t="n"/>
    </row>
    <row r="89" ht="15.75" customHeight="1" s="39">
      <c r="A89" s="34" t="n"/>
      <c r="B89" s="33" t="n"/>
      <c r="C89" s="33" t="n"/>
      <c r="D89" s="32" t="n"/>
      <c r="E89" s="33" t="n"/>
      <c r="F89" s="33" t="n"/>
      <c r="G89" s="33" t="n"/>
    </row>
    <row r="90" ht="15.75" customHeight="1" s="39">
      <c r="A90" s="34" t="n"/>
      <c r="B90" s="33" t="n"/>
      <c r="C90" s="33" t="n"/>
      <c r="D90" s="32" t="n"/>
      <c r="E90" s="33" t="n"/>
      <c r="F90" s="33" t="n"/>
      <c r="G90" s="33" t="n"/>
    </row>
    <row r="91" ht="15.75" customHeight="1" s="39">
      <c r="A91" s="34" t="n"/>
      <c r="B91" s="33" t="n"/>
      <c r="C91" s="33" t="n"/>
      <c r="D91" s="32" t="n"/>
      <c r="E91" s="33" t="n"/>
      <c r="F91" s="33" t="n"/>
      <c r="G91" s="33" t="n"/>
    </row>
    <row r="92" ht="15.75" customHeight="1" s="39">
      <c r="A92" s="34" t="n"/>
      <c r="B92" s="33" t="n"/>
      <c r="C92" s="33" t="n"/>
      <c r="D92" s="32" t="n"/>
      <c r="E92" s="33" t="n"/>
      <c r="F92" s="33" t="n"/>
      <c r="G92" s="33" t="n"/>
    </row>
    <row r="93" ht="15.75" customHeight="1" s="39">
      <c r="A93" s="34" t="n"/>
      <c r="B93" s="33" t="n"/>
      <c r="C93" s="33" t="n"/>
      <c r="D93" s="32" t="n"/>
      <c r="E93" s="33" t="n"/>
      <c r="F93" s="33" t="n"/>
      <c r="G93" s="33" t="n"/>
    </row>
    <row r="94" ht="15.75" customHeight="1" s="39">
      <c r="A94" s="34" t="n"/>
      <c r="B94" s="33" t="n"/>
      <c r="C94" s="33" t="n"/>
      <c r="D94" s="32" t="n"/>
      <c r="E94" s="33" t="n"/>
      <c r="F94" s="33" t="n"/>
      <c r="G94" s="33" t="n"/>
    </row>
    <row r="95" ht="15.75" customHeight="1" s="39">
      <c r="A95" s="34" t="n"/>
      <c r="B95" s="33" t="n"/>
      <c r="C95" s="33" t="n"/>
      <c r="D95" s="32" t="n"/>
      <c r="E95" s="33" t="n"/>
      <c r="F95" s="33" t="n"/>
      <c r="G95" s="33" t="n"/>
    </row>
    <row r="96" ht="15.75" customHeight="1" s="39">
      <c r="A96" s="34" t="n"/>
      <c r="B96" s="33" t="n"/>
      <c r="C96" s="33" t="n"/>
      <c r="D96" s="32" t="n"/>
      <c r="E96" s="33" t="n"/>
      <c r="F96" s="33" t="n"/>
      <c r="G96" s="33" t="n"/>
    </row>
    <row r="97" ht="15.75" customHeight="1" s="39">
      <c r="A97" s="34" t="n"/>
      <c r="B97" s="33" t="n"/>
      <c r="C97" s="33" t="n"/>
      <c r="D97" s="32" t="n"/>
      <c r="E97" s="33" t="n"/>
      <c r="F97" s="33" t="n"/>
      <c r="G97" s="33" t="n"/>
    </row>
    <row r="98" ht="15.75" customHeight="1" s="39">
      <c r="A98" s="34" t="n"/>
      <c r="B98" s="33" t="n"/>
      <c r="C98" s="33" t="n"/>
      <c r="D98" s="32" t="n"/>
      <c r="E98" s="33" t="n"/>
      <c r="F98" s="33" t="n"/>
      <c r="G98" s="33" t="n"/>
    </row>
    <row r="99" ht="15.75" customHeight="1" s="39">
      <c r="A99" s="34" t="n"/>
      <c r="B99" s="33" t="n"/>
      <c r="C99" s="33" t="n"/>
      <c r="D99" s="32" t="n"/>
      <c r="E99" s="33" t="n"/>
      <c r="F99" s="33" t="n"/>
      <c r="G99" s="33" t="n"/>
    </row>
    <row r="100" ht="15.75" customHeight="1" s="39">
      <c r="A100" s="34" t="n"/>
      <c r="B100" s="33" t="n"/>
      <c r="C100" s="33" t="n"/>
      <c r="D100" s="32" t="n"/>
      <c r="E100" s="33" t="n"/>
      <c r="F100" s="33" t="n"/>
      <c r="G100" s="33" t="n"/>
    </row>
    <row r="101" ht="15.75" customHeight="1" s="39">
      <c r="A101" s="34" t="n"/>
      <c r="B101" s="33" t="n"/>
      <c r="C101" s="33" t="n"/>
      <c r="D101" s="32" t="n"/>
      <c r="E101" s="33" t="n"/>
      <c r="F101" s="33" t="n"/>
      <c r="G101" s="33" t="n"/>
    </row>
    <row r="102" ht="15.75" customHeight="1" s="39">
      <c r="A102" s="34" t="n"/>
      <c r="B102" s="33" t="n"/>
      <c r="C102" s="33" t="n"/>
      <c r="D102" s="32" t="n"/>
      <c r="E102" s="33" t="n"/>
      <c r="F102" s="33" t="n"/>
      <c r="G102" s="33" t="n"/>
    </row>
    <row r="103" ht="15.75" customHeight="1" s="39">
      <c r="A103" s="34" t="n"/>
      <c r="B103" s="33" t="n"/>
      <c r="C103" s="33" t="n"/>
      <c r="D103" s="32" t="n"/>
      <c r="E103" s="33" t="n"/>
      <c r="F103" s="33" t="n"/>
      <c r="G103" s="33" t="n"/>
    </row>
    <row r="104" ht="15.75" customHeight="1" s="39">
      <c r="A104" s="34" t="n"/>
      <c r="B104" s="33" t="n"/>
      <c r="C104" s="33" t="n"/>
      <c r="D104" s="32" t="n"/>
      <c r="E104" s="33" t="n"/>
      <c r="F104" s="33" t="n"/>
      <c r="G104" s="33" t="n"/>
    </row>
    <row r="105" ht="15.75" customHeight="1" s="39">
      <c r="A105" s="34" t="n"/>
      <c r="B105" s="33" t="n"/>
      <c r="C105" s="33" t="n"/>
      <c r="D105" s="32" t="n"/>
      <c r="E105" s="33" t="n"/>
      <c r="F105" s="33" t="n"/>
      <c r="G105" s="33" t="n"/>
    </row>
    <row r="106" ht="15.75" customHeight="1" s="39">
      <c r="A106" s="34" t="n"/>
      <c r="B106" s="33" t="n"/>
      <c r="C106" s="33" t="n"/>
      <c r="D106" s="32" t="n"/>
      <c r="E106" s="33" t="n"/>
      <c r="F106" s="33" t="n"/>
      <c r="G106" s="33" t="n"/>
    </row>
    <row r="107" ht="15.75" customHeight="1" s="39">
      <c r="A107" s="34" t="n"/>
      <c r="B107" s="33" t="n"/>
      <c r="C107" s="33" t="n"/>
      <c r="D107" s="32" t="n"/>
      <c r="E107" s="33" t="n"/>
      <c r="F107" s="33" t="n"/>
      <c r="G107" s="33" t="n"/>
    </row>
    <row r="108" ht="15.75" customHeight="1" s="39">
      <c r="A108" s="34" t="n"/>
      <c r="B108" s="33" t="n"/>
      <c r="C108" s="33" t="n"/>
      <c r="D108" s="32" t="n"/>
      <c r="E108" s="33" t="n"/>
      <c r="F108" s="33" t="n"/>
      <c r="G108" s="33" t="n"/>
    </row>
    <row r="109" ht="15.75" customHeight="1" s="39">
      <c r="A109" s="34" t="n"/>
      <c r="B109" s="33" t="n"/>
      <c r="C109" s="33" t="n"/>
      <c r="D109" s="32" t="n"/>
      <c r="E109" s="33" t="n"/>
      <c r="F109" s="33" t="n"/>
      <c r="G109" s="33" t="n"/>
    </row>
    <row r="110" ht="15.75" customHeight="1" s="39">
      <c r="A110" s="34" t="n"/>
      <c r="B110" s="33" t="n"/>
      <c r="C110" s="33" t="n"/>
      <c r="D110" s="32" t="n"/>
      <c r="E110" s="33" t="n"/>
      <c r="F110" s="33" t="n"/>
      <c r="G110" s="33" t="n"/>
    </row>
    <row r="111" ht="15.75" customHeight="1" s="39">
      <c r="A111" s="34" t="n"/>
      <c r="B111" s="33" t="n"/>
      <c r="C111" s="33" t="n"/>
      <c r="D111" s="32" t="n"/>
      <c r="E111" s="33" t="n"/>
      <c r="F111" s="33" t="n"/>
      <c r="G111" s="33" t="n"/>
    </row>
    <row r="112" ht="15.75" customHeight="1" s="39">
      <c r="A112" s="34" t="n"/>
      <c r="B112" s="33" t="n"/>
      <c r="C112" s="33" t="n"/>
      <c r="D112" s="32" t="n"/>
      <c r="E112" s="33" t="n"/>
      <c r="F112" s="33" t="n"/>
      <c r="G112" s="33" t="n"/>
    </row>
    <row r="113" ht="15.75" customHeight="1" s="39">
      <c r="A113" s="34" t="n"/>
      <c r="B113" s="33" t="n"/>
      <c r="C113" s="33" t="n"/>
      <c r="D113" s="32" t="n"/>
      <c r="E113" s="33" t="n"/>
      <c r="F113" s="33" t="n"/>
      <c r="G113" s="33" t="n"/>
    </row>
    <row r="114" ht="15.75" customHeight="1" s="39">
      <c r="A114" s="34" t="n"/>
      <c r="B114" s="33" t="n"/>
      <c r="C114" s="33" t="n"/>
      <c r="D114" s="32" t="n"/>
      <c r="E114" s="33" t="n"/>
      <c r="F114" s="33" t="n"/>
      <c r="G114" s="33" t="n"/>
    </row>
    <row r="115" ht="15.75" customHeight="1" s="39">
      <c r="A115" s="34" t="n"/>
      <c r="B115" s="33" t="n"/>
      <c r="C115" s="33" t="n"/>
      <c r="D115" s="32" t="n"/>
      <c r="E115" s="33" t="n"/>
      <c r="F115" s="33" t="n"/>
      <c r="G115" s="33" t="n"/>
    </row>
    <row r="116" ht="15.75" customHeight="1" s="39">
      <c r="A116" s="34" t="n"/>
      <c r="B116" s="33" t="n"/>
      <c r="C116" s="33" t="n"/>
      <c r="D116" s="32" t="n"/>
      <c r="E116" s="33" t="n"/>
      <c r="F116" s="33" t="n"/>
      <c r="G116" s="33" t="n"/>
    </row>
    <row r="117" ht="15.75" customHeight="1" s="39">
      <c r="A117" s="34" t="n"/>
      <c r="B117" s="33" t="n"/>
      <c r="C117" s="33" t="n"/>
      <c r="D117" s="32" t="n"/>
      <c r="E117" s="33" t="n"/>
      <c r="F117" s="33" t="n"/>
      <c r="G117" s="33" t="n"/>
    </row>
    <row r="118" ht="15.75" customHeight="1" s="39">
      <c r="A118" s="34" t="n"/>
      <c r="B118" s="33" t="n"/>
      <c r="C118" s="33" t="n"/>
      <c r="D118" s="32" t="n"/>
      <c r="E118" s="33" t="n"/>
      <c r="F118" s="33" t="n"/>
      <c r="G118" s="33" t="n"/>
    </row>
    <row r="119" ht="15.75" customHeight="1" s="39">
      <c r="A119" s="34" t="n"/>
      <c r="B119" s="33" t="n"/>
      <c r="C119" s="33" t="n"/>
      <c r="D119" s="32" t="n"/>
      <c r="E119" s="33" t="n"/>
      <c r="F119" s="33" t="n"/>
      <c r="G119" s="33" t="n"/>
    </row>
    <row r="120" ht="15.75" customHeight="1" s="39">
      <c r="A120" s="34" t="n"/>
      <c r="B120" s="33" t="n"/>
      <c r="C120" s="33" t="n"/>
      <c r="D120" s="32" t="n"/>
      <c r="E120" s="33" t="n"/>
      <c r="F120" s="33" t="n"/>
      <c r="G120" s="33" t="n"/>
    </row>
    <row r="121" ht="15.75" customHeight="1" s="39">
      <c r="A121" s="34" t="n"/>
      <c r="B121" s="33" t="n"/>
      <c r="C121" s="33" t="n"/>
      <c r="D121" s="32" t="n"/>
      <c r="E121" s="33" t="n"/>
      <c r="F121" s="33" t="n"/>
      <c r="G121" s="33" t="n"/>
    </row>
    <row r="122" ht="15.75" customHeight="1" s="39">
      <c r="A122" s="34" t="n"/>
      <c r="B122" s="33" t="n"/>
      <c r="C122" s="33" t="n"/>
      <c r="D122" s="32" t="n"/>
      <c r="E122" s="33" t="n"/>
      <c r="F122" s="33" t="n"/>
      <c r="G122" s="33" t="n"/>
    </row>
    <row r="123" ht="15.75" customHeight="1" s="39">
      <c r="A123" s="34" t="n"/>
      <c r="B123" s="33" t="n"/>
      <c r="C123" s="33" t="n"/>
      <c r="D123" s="32" t="n"/>
      <c r="E123" s="33" t="n"/>
      <c r="F123" s="33" t="n"/>
      <c r="G123" s="33" t="n"/>
    </row>
    <row r="124" ht="15.75" customHeight="1" s="39">
      <c r="A124" s="34" t="n"/>
      <c r="B124" s="33" t="n"/>
      <c r="C124" s="33" t="n"/>
      <c r="D124" s="32" t="n"/>
      <c r="E124" s="33" t="n"/>
      <c r="F124" s="33" t="n"/>
      <c r="G124" s="33" t="n"/>
    </row>
    <row r="125" ht="15.75" customHeight="1" s="39">
      <c r="A125" s="34" t="n"/>
      <c r="B125" s="33" t="n"/>
      <c r="C125" s="33" t="n"/>
      <c r="D125" s="32" t="n"/>
      <c r="E125" s="33" t="n"/>
      <c r="F125" s="33" t="n"/>
      <c r="G125" s="33" t="n"/>
    </row>
    <row r="126" ht="15.75" customHeight="1" s="39">
      <c r="A126" s="34" t="n"/>
      <c r="B126" s="33" t="n"/>
      <c r="C126" s="33" t="n"/>
      <c r="D126" s="32" t="n"/>
      <c r="E126" s="33" t="n"/>
      <c r="F126" s="33" t="n"/>
      <c r="G126" s="33" t="n"/>
    </row>
    <row r="127" ht="15.75" customHeight="1" s="39">
      <c r="A127" s="34" t="n"/>
      <c r="B127" s="33" t="n"/>
      <c r="C127" s="33" t="n"/>
      <c r="D127" s="32" t="n"/>
      <c r="E127" s="33" t="n"/>
      <c r="F127" s="33" t="n"/>
      <c r="G127" s="33" t="n"/>
    </row>
    <row r="128" ht="15.75" customHeight="1" s="39">
      <c r="A128" s="34" t="n"/>
      <c r="B128" s="33" t="n"/>
      <c r="C128" s="33" t="n"/>
      <c r="D128" s="32" t="n"/>
      <c r="E128" s="33" t="n"/>
      <c r="F128" s="33" t="n"/>
      <c r="G128" s="33" t="n"/>
    </row>
    <row r="129" ht="15.75" customHeight="1" s="39">
      <c r="A129" s="34" t="n"/>
      <c r="B129" s="33" t="n"/>
      <c r="C129" s="33" t="n"/>
      <c r="D129" s="32" t="n"/>
      <c r="E129" s="33" t="n"/>
      <c r="F129" s="33" t="n"/>
      <c r="G129" s="33" t="n"/>
    </row>
    <row r="130" ht="15.75" customHeight="1" s="39">
      <c r="A130" s="34" t="n"/>
      <c r="B130" s="33" t="n"/>
      <c r="C130" s="33" t="n"/>
      <c r="D130" s="32" t="n"/>
      <c r="E130" s="33" t="n"/>
      <c r="F130" s="33" t="n"/>
      <c r="G130" s="33" t="n"/>
    </row>
    <row r="131" ht="15.75" customHeight="1" s="39">
      <c r="A131" s="34" t="n"/>
      <c r="B131" s="33" t="n"/>
      <c r="C131" s="33" t="n"/>
      <c r="D131" s="32" t="n"/>
      <c r="E131" s="33" t="n"/>
      <c r="F131" s="33" t="n"/>
      <c r="G131" s="33" t="n"/>
    </row>
    <row r="132" ht="15.75" customHeight="1" s="39">
      <c r="A132" s="34" t="n"/>
      <c r="B132" s="33" t="n"/>
      <c r="C132" s="33" t="n"/>
      <c r="D132" s="32" t="n"/>
      <c r="E132" s="33" t="n"/>
      <c r="F132" s="33" t="n"/>
      <c r="G132" s="33" t="n"/>
    </row>
    <row r="133" ht="15.75" customHeight="1" s="39">
      <c r="A133" s="34" t="n"/>
      <c r="B133" s="33" t="n"/>
      <c r="C133" s="33" t="n"/>
      <c r="D133" s="32" t="n"/>
      <c r="E133" s="33" t="n"/>
      <c r="F133" s="33" t="n"/>
      <c r="G133" s="33" t="n"/>
    </row>
    <row r="134" ht="15.75" customHeight="1" s="39">
      <c r="A134" s="34" t="n"/>
      <c r="B134" s="33" t="n"/>
      <c r="C134" s="33" t="n"/>
      <c r="D134" s="32" t="n"/>
      <c r="E134" s="33" t="n"/>
      <c r="F134" s="33" t="n"/>
      <c r="G134" s="33" t="n"/>
    </row>
    <row r="135" ht="15.75" customHeight="1" s="39">
      <c r="A135" s="34" t="n"/>
      <c r="B135" s="33" t="n"/>
      <c r="C135" s="33" t="n"/>
      <c r="D135" s="32" t="n"/>
      <c r="E135" s="33" t="n"/>
      <c r="F135" s="33" t="n"/>
      <c r="G135" s="33" t="n"/>
    </row>
    <row r="136" ht="15.75" customHeight="1" s="39">
      <c r="A136" s="34" t="n"/>
      <c r="B136" s="33" t="n"/>
      <c r="C136" s="33" t="n"/>
      <c r="D136" s="32" t="n"/>
      <c r="E136" s="33" t="n"/>
      <c r="F136" s="33" t="n"/>
      <c r="G136" s="33" t="n"/>
    </row>
    <row r="137" ht="15.75" customHeight="1" s="39">
      <c r="A137" s="34" t="n"/>
      <c r="B137" s="33" t="n"/>
      <c r="C137" s="33" t="n"/>
      <c r="D137" s="32" t="n"/>
      <c r="E137" s="33" t="n"/>
      <c r="F137" s="33" t="n"/>
      <c r="G137" s="33" t="n"/>
    </row>
    <row r="138" ht="15.75" customHeight="1" s="39">
      <c r="A138" s="34" t="n"/>
      <c r="B138" s="33" t="n"/>
      <c r="C138" s="33" t="n"/>
      <c r="D138" s="32" t="n"/>
      <c r="E138" s="33" t="n"/>
      <c r="F138" s="33" t="n"/>
      <c r="G138" s="33" t="n"/>
    </row>
    <row r="139" ht="15.75" customHeight="1" s="39">
      <c r="A139" s="34" t="n"/>
      <c r="B139" s="33" t="n"/>
      <c r="C139" s="33" t="n"/>
      <c r="D139" s="32" t="n"/>
      <c r="E139" s="33" t="n"/>
      <c r="F139" s="33" t="n"/>
      <c r="G139" s="33" t="n"/>
    </row>
    <row r="140" ht="15.75" customHeight="1" s="39">
      <c r="A140" s="34" t="n"/>
      <c r="B140" s="33" t="n"/>
      <c r="C140" s="33" t="n"/>
      <c r="D140" s="32" t="n"/>
      <c r="E140" s="33" t="n"/>
      <c r="F140" s="33" t="n"/>
      <c r="G140" s="33" t="n"/>
    </row>
    <row r="141" ht="15.75" customHeight="1" s="39">
      <c r="A141" s="34" t="n"/>
      <c r="B141" s="33" t="n"/>
      <c r="C141" s="33" t="n"/>
      <c r="D141" s="32" t="n"/>
      <c r="E141" s="33" t="n"/>
      <c r="F141" s="33" t="n"/>
      <c r="G141" s="33" t="n"/>
    </row>
    <row r="142" ht="15.75" customHeight="1" s="39">
      <c r="A142" s="34" t="n"/>
      <c r="B142" s="33" t="n"/>
      <c r="C142" s="33" t="n"/>
      <c r="D142" s="32" t="n"/>
      <c r="E142" s="33" t="n"/>
      <c r="F142" s="33" t="n"/>
      <c r="G142" s="33" t="n"/>
    </row>
    <row r="143" ht="15.75" customHeight="1" s="39">
      <c r="A143" s="34" t="n"/>
      <c r="B143" s="33" t="n"/>
      <c r="C143" s="33" t="n"/>
      <c r="D143" s="32" t="n"/>
      <c r="E143" s="33" t="n"/>
      <c r="F143" s="33" t="n"/>
      <c r="G143" s="33" t="n"/>
    </row>
    <row r="144" ht="15.75" customHeight="1" s="39">
      <c r="A144" s="34" t="n"/>
      <c r="B144" s="33" t="n"/>
      <c r="C144" s="33" t="n"/>
      <c r="D144" s="32" t="n"/>
      <c r="E144" s="33" t="n"/>
      <c r="F144" s="33" t="n"/>
      <c r="G144" s="33" t="n"/>
    </row>
    <row r="145" ht="15.75" customHeight="1" s="39">
      <c r="A145" s="34" t="n"/>
      <c r="B145" s="33" t="n"/>
      <c r="C145" s="33" t="n"/>
      <c r="D145" s="32" t="n"/>
      <c r="E145" s="33" t="n"/>
      <c r="F145" s="33" t="n"/>
      <c r="G145" s="33" t="n"/>
    </row>
    <row r="146" ht="15.75" customHeight="1" s="39">
      <c r="A146" s="34" t="n"/>
      <c r="B146" s="33" t="n"/>
      <c r="C146" s="33" t="n"/>
      <c r="D146" s="32" t="n"/>
      <c r="E146" s="33" t="n"/>
      <c r="F146" s="33" t="n"/>
      <c r="G146" s="33" t="n"/>
    </row>
    <row r="147" ht="15.75" customHeight="1" s="39">
      <c r="A147" s="34" t="n"/>
      <c r="B147" s="33" t="n"/>
      <c r="C147" s="33" t="n"/>
      <c r="D147" s="32" t="n"/>
      <c r="E147" s="33" t="n"/>
      <c r="F147" s="33" t="n"/>
      <c r="G147" s="33" t="n"/>
    </row>
    <row r="148" ht="15.75" customHeight="1" s="39">
      <c r="A148" s="34" t="n"/>
      <c r="B148" s="33" t="n"/>
      <c r="C148" s="33" t="n"/>
      <c r="D148" s="32" t="n"/>
      <c r="E148" s="33" t="n"/>
      <c r="F148" s="33" t="n"/>
      <c r="G148" s="33" t="n"/>
    </row>
    <row r="149" ht="15.75" customHeight="1" s="39">
      <c r="A149" s="34" t="n"/>
      <c r="B149" s="33" t="n"/>
      <c r="C149" s="33" t="n"/>
      <c r="D149" s="32" t="n"/>
      <c r="E149" s="33" t="n"/>
      <c r="F149" s="33" t="n"/>
      <c r="G149" s="33" t="n"/>
    </row>
    <row r="150" ht="15.75" customHeight="1" s="39">
      <c r="A150" s="34" t="n"/>
      <c r="B150" s="33" t="n"/>
      <c r="C150" s="33" t="n"/>
      <c r="D150" s="32" t="n"/>
      <c r="E150" s="33" t="n"/>
      <c r="F150" s="33" t="n"/>
      <c r="G150" s="33" t="n"/>
    </row>
    <row r="151" ht="15.75" customHeight="1" s="39">
      <c r="A151" s="34" t="n"/>
      <c r="B151" s="33" t="n"/>
      <c r="C151" s="33" t="n"/>
      <c r="D151" s="32" t="n"/>
      <c r="E151" s="33" t="n"/>
      <c r="F151" s="33" t="n"/>
      <c r="G151" s="33" t="n"/>
    </row>
    <row r="152" ht="15.75" customHeight="1" s="39">
      <c r="A152" s="34" t="n"/>
      <c r="B152" s="33" t="n"/>
      <c r="C152" s="33" t="n"/>
      <c r="D152" s="32" t="n"/>
      <c r="E152" s="33" t="n"/>
      <c r="F152" s="33" t="n"/>
      <c r="G152" s="33" t="n"/>
    </row>
    <row r="153" ht="15.75" customHeight="1" s="39">
      <c r="A153" s="34" t="n"/>
      <c r="B153" s="33" t="n"/>
      <c r="C153" s="33" t="n"/>
      <c r="D153" s="32" t="n"/>
      <c r="E153" s="33" t="n"/>
      <c r="F153" s="33" t="n"/>
      <c r="G153" s="33" t="n"/>
    </row>
    <row r="154" ht="15.75" customHeight="1" s="39">
      <c r="A154" s="34" t="n"/>
      <c r="B154" s="33" t="n"/>
      <c r="C154" s="33" t="n"/>
      <c r="D154" s="32" t="n"/>
      <c r="E154" s="33" t="n"/>
      <c r="F154" s="33" t="n"/>
      <c r="G154" s="33" t="n"/>
    </row>
    <row r="155" ht="15.75" customHeight="1" s="39">
      <c r="A155" s="34" t="n"/>
      <c r="B155" s="33" t="n"/>
      <c r="C155" s="33" t="n"/>
      <c r="D155" s="32" t="n"/>
      <c r="E155" s="33" t="n"/>
      <c r="F155" s="33" t="n"/>
      <c r="G155" s="33" t="n"/>
    </row>
    <row r="156" ht="15.75" customHeight="1" s="39">
      <c r="A156" s="34" t="n"/>
      <c r="B156" s="33" t="n"/>
      <c r="C156" s="33" t="n"/>
      <c r="D156" s="32" t="n"/>
      <c r="E156" s="33" t="n"/>
      <c r="F156" s="33" t="n"/>
      <c r="G156" s="33" t="n"/>
    </row>
    <row r="157" ht="15.75" customHeight="1" s="39">
      <c r="A157" s="34" t="n"/>
      <c r="B157" s="33" t="n"/>
      <c r="C157" s="33" t="n"/>
      <c r="D157" s="32" t="n"/>
      <c r="E157" s="33" t="n"/>
      <c r="F157" s="33" t="n"/>
      <c r="G157" s="33" t="n"/>
    </row>
    <row r="158" ht="15.75" customHeight="1" s="39">
      <c r="A158" s="34" t="n"/>
      <c r="B158" s="33" t="n"/>
      <c r="C158" s="33" t="n"/>
      <c r="D158" s="32" t="n"/>
      <c r="E158" s="33" t="n"/>
      <c r="F158" s="33" t="n"/>
      <c r="G158" s="33" t="n"/>
    </row>
    <row r="159" ht="15.75" customHeight="1" s="39">
      <c r="A159" s="34" t="n"/>
      <c r="B159" s="33" t="n"/>
      <c r="C159" s="33" t="n"/>
      <c r="D159" s="32" t="n"/>
      <c r="E159" s="33" t="n"/>
      <c r="F159" s="33" t="n"/>
      <c r="G159" s="33" t="n"/>
    </row>
    <row r="160" ht="15.75" customHeight="1" s="39">
      <c r="A160" s="34" t="n"/>
      <c r="B160" s="33" t="n"/>
      <c r="C160" s="33" t="n"/>
      <c r="D160" s="32" t="n"/>
      <c r="E160" s="33" t="n"/>
      <c r="F160" s="33" t="n"/>
      <c r="G160" s="33" t="n"/>
    </row>
    <row r="161" ht="15.75" customHeight="1" s="39">
      <c r="A161" s="34" t="n"/>
      <c r="B161" s="33" t="n"/>
      <c r="C161" s="33" t="n"/>
      <c r="D161" s="32" t="n"/>
      <c r="E161" s="33" t="n"/>
      <c r="F161" s="33" t="n"/>
      <c r="G161" s="33" t="n"/>
    </row>
    <row r="162" ht="15.75" customHeight="1" s="39">
      <c r="A162" s="34" t="n"/>
      <c r="B162" s="33" t="n"/>
      <c r="C162" s="33" t="n"/>
      <c r="D162" s="32" t="n"/>
      <c r="E162" s="33" t="n"/>
      <c r="F162" s="33" t="n"/>
      <c r="G162" s="33" t="n"/>
    </row>
    <row r="163" ht="15.75" customHeight="1" s="39">
      <c r="A163" s="34" t="n"/>
      <c r="B163" s="33" t="n"/>
      <c r="C163" s="33" t="n"/>
      <c r="D163" s="32" t="n"/>
      <c r="E163" s="33" t="n"/>
      <c r="F163" s="33" t="n"/>
      <c r="G163" s="33" t="n"/>
    </row>
    <row r="164" ht="15.75" customHeight="1" s="39">
      <c r="A164" s="34" t="n"/>
      <c r="B164" s="33" t="n"/>
      <c r="C164" s="33" t="n"/>
      <c r="D164" s="32" t="n"/>
      <c r="E164" s="33" t="n"/>
      <c r="F164" s="33" t="n"/>
      <c r="G164" s="33" t="n"/>
    </row>
    <row r="165" ht="15.75" customHeight="1" s="39">
      <c r="A165" s="34" t="n"/>
      <c r="B165" s="33" t="n"/>
      <c r="C165" s="33" t="n"/>
      <c r="D165" s="32" t="n"/>
      <c r="E165" s="33" t="n"/>
      <c r="F165" s="33" t="n"/>
      <c r="G165" s="33" t="n"/>
    </row>
    <row r="166" ht="15.75" customHeight="1" s="39">
      <c r="A166" s="34" t="n"/>
      <c r="B166" s="33" t="n"/>
      <c r="C166" s="33" t="n"/>
      <c r="D166" s="32" t="n"/>
      <c r="E166" s="33" t="n"/>
      <c r="F166" s="33" t="n"/>
      <c r="G166" s="33" t="n"/>
    </row>
    <row r="167" ht="15.75" customHeight="1" s="39">
      <c r="A167" s="34" t="n"/>
      <c r="B167" s="33" t="n"/>
      <c r="C167" s="33" t="n"/>
      <c r="D167" s="32" t="n"/>
      <c r="E167" s="33" t="n"/>
      <c r="F167" s="33" t="n"/>
      <c r="G167" s="33" t="n"/>
    </row>
    <row r="168" ht="15.75" customHeight="1" s="39">
      <c r="A168" s="34" t="n"/>
      <c r="B168" s="33" t="n"/>
      <c r="C168" s="33" t="n"/>
      <c r="D168" s="32" t="n"/>
      <c r="E168" s="33" t="n"/>
      <c r="F168" s="33" t="n"/>
      <c r="G168" s="33" t="n"/>
    </row>
    <row r="169" ht="15.75" customHeight="1" s="39">
      <c r="A169" s="34" t="n"/>
      <c r="B169" s="33" t="n"/>
      <c r="C169" s="33" t="n"/>
      <c r="D169" s="32" t="n"/>
      <c r="E169" s="33" t="n"/>
      <c r="F169" s="33" t="n"/>
      <c r="G169" s="33" t="n"/>
    </row>
    <row r="170" ht="15.75" customHeight="1" s="39">
      <c r="A170" s="34" t="n"/>
      <c r="B170" s="33" t="n"/>
      <c r="C170" s="33" t="n"/>
      <c r="D170" s="32" t="n"/>
      <c r="E170" s="33" t="n"/>
      <c r="F170" s="33" t="n"/>
      <c r="G170" s="33" t="n"/>
    </row>
    <row r="171" ht="15.75" customHeight="1" s="39">
      <c r="A171" s="34" t="n"/>
      <c r="B171" s="33" t="n"/>
      <c r="C171" s="33" t="n"/>
      <c r="D171" s="32" t="n"/>
      <c r="E171" s="33" t="n"/>
      <c r="F171" s="33" t="n"/>
      <c r="G171" s="33" t="n"/>
    </row>
    <row r="172" ht="15.75" customHeight="1" s="39">
      <c r="A172" s="34" t="n"/>
      <c r="B172" s="33" t="n"/>
      <c r="C172" s="33" t="n"/>
      <c r="D172" s="32" t="n"/>
      <c r="E172" s="33" t="n"/>
      <c r="F172" s="33" t="n"/>
      <c r="G172" s="33" t="n"/>
    </row>
    <row r="173" ht="15.75" customHeight="1" s="39">
      <c r="A173" s="34" t="n"/>
      <c r="B173" s="33" t="n"/>
      <c r="C173" s="33" t="n"/>
      <c r="D173" s="32" t="n"/>
      <c r="E173" s="33" t="n"/>
      <c r="F173" s="33" t="n"/>
      <c r="G173" s="33" t="n"/>
    </row>
    <row r="174" ht="15.75" customHeight="1" s="39">
      <c r="A174" s="34" t="n"/>
      <c r="B174" s="33" t="n"/>
      <c r="C174" s="33" t="n"/>
      <c r="D174" s="32" t="n"/>
      <c r="E174" s="33" t="n"/>
      <c r="F174" s="33" t="n"/>
      <c r="G174" s="33" t="n"/>
    </row>
    <row r="175" ht="15.75" customHeight="1" s="39">
      <c r="A175" s="34" t="n"/>
      <c r="B175" s="33" t="n"/>
      <c r="C175" s="33" t="n"/>
      <c r="D175" s="32" t="n"/>
      <c r="E175" s="33" t="n"/>
      <c r="F175" s="33" t="n"/>
      <c r="G175" s="33" t="n"/>
    </row>
    <row r="176" ht="15.75" customHeight="1" s="39">
      <c r="A176" s="34" t="n"/>
      <c r="B176" s="33" t="n"/>
      <c r="C176" s="33" t="n"/>
      <c r="D176" s="32" t="n"/>
      <c r="E176" s="33" t="n"/>
      <c r="F176" s="33" t="n"/>
      <c r="G176" s="33" t="n"/>
    </row>
    <row r="177" ht="15.75" customHeight="1" s="39">
      <c r="A177" s="34" t="n"/>
      <c r="B177" s="33" t="n"/>
      <c r="C177" s="33" t="n"/>
      <c r="D177" s="32" t="n"/>
      <c r="E177" s="33" t="n"/>
      <c r="F177" s="33" t="n"/>
      <c r="G177" s="33" t="n"/>
    </row>
    <row r="178" ht="15.75" customHeight="1" s="39">
      <c r="A178" s="34" t="n"/>
      <c r="B178" s="33" t="n"/>
      <c r="C178" s="33" t="n"/>
      <c r="D178" s="32" t="n"/>
      <c r="E178" s="33" t="n"/>
      <c r="F178" s="33" t="n"/>
      <c r="G178" s="33" t="n"/>
    </row>
    <row r="179" ht="15.75" customHeight="1" s="39">
      <c r="A179" s="34" t="n"/>
      <c r="B179" s="33" t="n"/>
      <c r="C179" s="33" t="n"/>
      <c r="D179" s="32" t="n"/>
      <c r="E179" s="33" t="n"/>
      <c r="F179" s="33" t="n"/>
      <c r="G179" s="33" t="n"/>
    </row>
    <row r="180" ht="15.75" customHeight="1" s="39">
      <c r="A180" s="34" t="n"/>
      <c r="B180" s="33" t="n"/>
      <c r="C180" s="33" t="n"/>
      <c r="D180" s="32" t="n"/>
      <c r="E180" s="33" t="n"/>
      <c r="F180" s="33" t="n"/>
      <c r="G180" s="33" t="n"/>
    </row>
    <row r="181" ht="15.75" customHeight="1" s="39">
      <c r="A181" s="34" t="n"/>
      <c r="B181" s="33" t="n"/>
      <c r="C181" s="33" t="n"/>
      <c r="D181" s="32" t="n"/>
      <c r="E181" s="33" t="n"/>
      <c r="F181" s="33" t="n"/>
      <c r="G181" s="33" t="n"/>
    </row>
    <row r="182" ht="15.75" customHeight="1" s="39">
      <c r="A182" s="34" t="n"/>
      <c r="B182" s="33" t="n"/>
      <c r="C182" s="33" t="n"/>
      <c r="D182" s="32" t="n"/>
      <c r="E182" s="33" t="n"/>
      <c r="F182" s="33" t="n"/>
      <c r="G182" s="33" t="n"/>
    </row>
    <row r="183" ht="15.75" customHeight="1" s="39">
      <c r="A183" s="34" t="n"/>
      <c r="B183" s="33" t="n"/>
      <c r="C183" s="33" t="n"/>
      <c r="D183" s="32" t="n"/>
      <c r="E183" s="33" t="n"/>
      <c r="F183" s="33" t="n"/>
      <c r="G183" s="33" t="n"/>
    </row>
    <row r="184" ht="15.75" customHeight="1" s="39">
      <c r="A184" s="34" t="n"/>
      <c r="B184" s="33" t="n"/>
      <c r="C184" s="33" t="n"/>
      <c r="D184" s="32" t="n"/>
      <c r="E184" s="33" t="n"/>
      <c r="F184" s="33" t="n"/>
      <c r="G184" s="33" t="n"/>
    </row>
    <row r="185" ht="15.75" customHeight="1" s="39">
      <c r="A185" s="34" t="n"/>
      <c r="B185" s="33" t="n"/>
      <c r="C185" s="33" t="n"/>
      <c r="D185" s="32" t="n"/>
      <c r="E185" s="33" t="n"/>
      <c r="F185" s="33" t="n"/>
      <c r="G185" s="33" t="n"/>
    </row>
    <row r="186" ht="15.75" customHeight="1" s="39">
      <c r="A186" s="34" t="n"/>
      <c r="B186" s="33" t="n"/>
      <c r="C186" s="33" t="n"/>
      <c r="D186" s="32" t="n"/>
      <c r="E186" s="33" t="n"/>
      <c r="F186" s="33" t="n"/>
      <c r="G186" s="33" t="n"/>
    </row>
    <row r="187" ht="15.75" customHeight="1" s="39">
      <c r="A187" s="34" t="n"/>
      <c r="B187" s="33" t="n"/>
      <c r="C187" s="33" t="n"/>
      <c r="D187" s="32" t="n"/>
      <c r="E187" s="33" t="n"/>
      <c r="F187" s="33" t="n"/>
      <c r="G187" s="33" t="n"/>
    </row>
    <row r="188" ht="15.75" customHeight="1" s="39">
      <c r="A188" s="34" t="n"/>
      <c r="B188" s="33" t="n"/>
      <c r="C188" s="33" t="n"/>
      <c r="D188" s="32" t="n"/>
      <c r="E188" s="33" t="n"/>
      <c r="F188" s="33" t="n"/>
      <c r="G188" s="33" t="n"/>
    </row>
    <row r="189" ht="15.75" customHeight="1" s="39">
      <c r="A189" s="34" t="n"/>
      <c r="B189" s="33" t="n"/>
      <c r="C189" s="33" t="n"/>
      <c r="D189" s="32" t="n"/>
      <c r="E189" s="33" t="n"/>
      <c r="F189" s="33" t="n"/>
      <c r="G189" s="33" t="n"/>
    </row>
    <row r="190" ht="15.75" customHeight="1" s="39">
      <c r="A190" s="34" t="n"/>
      <c r="B190" s="33" t="n"/>
      <c r="C190" s="33" t="n"/>
      <c r="D190" s="32" t="n"/>
      <c r="E190" s="33" t="n"/>
      <c r="F190" s="33" t="n"/>
      <c r="G190" s="33" t="n"/>
    </row>
    <row r="191" ht="15.75" customHeight="1" s="39">
      <c r="A191" s="34" t="n"/>
      <c r="B191" s="33" t="n"/>
      <c r="C191" s="33" t="n"/>
      <c r="D191" s="32" t="n"/>
      <c r="E191" s="33" t="n"/>
      <c r="F191" s="33" t="n"/>
      <c r="G191" s="33" t="n"/>
    </row>
    <row r="192" ht="15.75" customHeight="1" s="39">
      <c r="A192" s="34" t="n"/>
      <c r="B192" s="33" t="n"/>
      <c r="C192" s="33" t="n"/>
      <c r="D192" s="32" t="n"/>
      <c r="E192" s="33" t="n"/>
      <c r="F192" s="33" t="n"/>
      <c r="G192" s="33" t="n"/>
    </row>
    <row r="193" ht="15.75" customHeight="1" s="39">
      <c r="A193" s="34" t="n"/>
      <c r="B193" s="33" t="n"/>
      <c r="C193" s="33" t="n"/>
      <c r="D193" s="32" t="n"/>
      <c r="E193" s="33" t="n"/>
      <c r="F193" s="33" t="n"/>
      <c r="G193" s="33" t="n"/>
    </row>
    <row r="194" ht="15.75" customHeight="1" s="39">
      <c r="A194" s="34" t="n"/>
      <c r="B194" s="33" t="n"/>
      <c r="C194" s="33" t="n"/>
      <c r="D194" s="32" t="n"/>
      <c r="E194" s="33" t="n"/>
      <c r="F194" s="33" t="n"/>
      <c r="G194" s="33" t="n"/>
    </row>
    <row r="195" ht="15.75" customHeight="1" s="39">
      <c r="A195" s="34" t="n"/>
      <c r="B195" s="33" t="n"/>
      <c r="C195" s="33" t="n"/>
      <c r="D195" s="32" t="n"/>
      <c r="E195" s="33" t="n"/>
      <c r="F195" s="33" t="n"/>
      <c r="G195" s="33" t="n"/>
    </row>
    <row r="196" ht="15.75" customHeight="1" s="39">
      <c r="A196" s="34" t="n"/>
      <c r="B196" s="33" t="n"/>
      <c r="C196" s="33" t="n"/>
      <c r="D196" s="32" t="n"/>
      <c r="E196" s="33" t="n"/>
      <c r="F196" s="33" t="n"/>
      <c r="G196" s="33" t="n"/>
    </row>
    <row r="197" ht="15.75" customHeight="1" s="39">
      <c r="A197" s="34" t="n"/>
      <c r="B197" s="33" t="n"/>
      <c r="C197" s="33" t="n"/>
      <c r="D197" s="32" t="n"/>
      <c r="E197" s="33" t="n"/>
      <c r="F197" s="33" t="n"/>
      <c r="G197" s="33" t="n"/>
    </row>
    <row r="198" ht="15.75" customHeight="1" s="39">
      <c r="A198" s="34" t="n"/>
      <c r="B198" s="33" t="n"/>
      <c r="C198" s="33" t="n"/>
      <c r="D198" s="32" t="n"/>
      <c r="E198" s="33" t="n"/>
      <c r="F198" s="33" t="n"/>
      <c r="G198" s="33" t="n"/>
    </row>
    <row r="199" ht="15.75" customHeight="1" s="39">
      <c r="A199" s="34" t="n"/>
      <c r="B199" s="33" t="n"/>
      <c r="C199" s="33" t="n"/>
      <c r="D199" s="32" t="n"/>
      <c r="E199" s="33" t="n"/>
      <c r="F199" s="33" t="n"/>
      <c r="G199" s="33" t="n"/>
    </row>
    <row r="200" ht="15.75" customHeight="1" s="39">
      <c r="A200" s="34" t="n"/>
      <c r="B200" s="33" t="n"/>
      <c r="C200" s="33" t="n"/>
      <c r="D200" s="32" t="n"/>
      <c r="E200" s="33" t="n"/>
      <c r="F200" s="33" t="n"/>
      <c r="G200" s="33" t="n"/>
    </row>
    <row r="201" ht="15.75" customHeight="1" s="39">
      <c r="A201" s="34" t="n"/>
      <c r="B201" s="33" t="n"/>
      <c r="C201" s="33" t="n"/>
      <c r="D201" s="32" t="n"/>
      <c r="E201" s="33" t="n"/>
      <c r="F201" s="33" t="n"/>
      <c r="G201" s="33" t="n"/>
    </row>
    <row r="202" ht="15.75" customHeight="1" s="39">
      <c r="A202" s="34" t="n"/>
      <c r="B202" s="33" t="n"/>
      <c r="C202" s="33" t="n"/>
      <c r="D202" s="32" t="n"/>
      <c r="E202" s="33" t="n"/>
      <c r="F202" s="33" t="n"/>
      <c r="G202" s="33" t="n"/>
    </row>
    <row r="203" ht="15.75" customHeight="1" s="39">
      <c r="A203" s="34" t="n"/>
      <c r="B203" s="33" t="n"/>
      <c r="C203" s="33" t="n"/>
      <c r="D203" s="32" t="n"/>
      <c r="E203" s="33" t="n"/>
      <c r="F203" s="33" t="n"/>
      <c r="G203" s="33" t="n"/>
    </row>
    <row r="204" ht="15.75" customHeight="1" s="39">
      <c r="A204" s="34" t="n"/>
      <c r="B204" s="33" t="n"/>
      <c r="C204" s="33" t="n"/>
      <c r="D204" s="32" t="n"/>
      <c r="E204" s="33" t="n"/>
      <c r="F204" s="33" t="n"/>
      <c r="G204" s="33" t="n"/>
    </row>
    <row r="205" ht="15.75" customHeight="1" s="39">
      <c r="A205" s="34" t="n"/>
      <c r="B205" s="33" t="n"/>
      <c r="C205" s="33" t="n"/>
      <c r="D205" s="32" t="n"/>
      <c r="E205" s="33" t="n"/>
      <c r="F205" s="33" t="n"/>
      <c r="G205" s="33" t="n"/>
    </row>
    <row r="206" ht="15.75" customHeight="1" s="39">
      <c r="A206" s="34" t="n"/>
      <c r="B206" s="33" t="n"/>
      <c r="C206" s="33" t="n"/>
      <c r="D206" s="32" t="n"/>
      <c r="E206" s="33" t="n"/>
      <c r="F206" s="33" t="n"/>
      <c r="G206" s="33" t="n"/>
    </row>
    <row r="207" ht="15.75" customHeight="1" s="39">
      <c r="A207" s="34" t="n"/>
      <c r="B207" s="33" t="n"/>
      <c r="C207" s="33" t="n"/>
      <c r="D207" s="32" t="n"/>
      <c r="E207" s="33" t="n"/>
      <c r="F207" s="33" t="n"/>
      <c r="G207" s="33" t="n"/>
    </row>
    <row r="208" ht="15.75" customHeight="1" s="39">
      <c r="A208" s="34" t="n"/>
      <c r="B208" s="33" t="n"/>
      <c r="C208" s="33" t="n"/>
      <c r="D208" s="32" t="n"/>
      <c r="E208" s="33" t="n"/>
      <c r="F208" s="33" t="n"/>
      <c r="G208" s="33" t="n"/>
    </row>
    <row r="209" ht="15.75" customHeight="1" s="39">
      <c r="A209" s="34" t="n"/>
      <c r="B209" s="33" t="n"/>
      <c r="C209" s="33" t="n"/>
      <c r="D209" s="32" t="n"/>
      <c r="E209" s="33" t="n"/>
      <c r="F209" s="33" t="n"/>
      <c r="G209" s="33" t="n"/>
    </row>
    <row r="210" ht="15.75" customHeight="1" s="39">
      <c r="A210" s="34" t="n"/>
      <c r="B210" s="33" t="n"/>
      <c r="C210" s="33" t="n"/>
      <c r="D210" s="32" t="n"/>
      <c r="E210" s="33" t="n"/>
      <c r="F210" s="33" t="n"/>
      <c r="G210" s="33" t="n"/>
    </row>
    <row r="211" ht="15.75" customHeight="1" s="39">
      <c r="A211" s="34" t="n"/>
      <c r="B211" s="33" t="n"/>
      <c r="C211" s="33" t="n"/>
      <c r="D211" s="32" t="n"/>
      <c r="E211" s="33" t="n"/>
      <c r="F211" s="33" t="n"/>
      <c r="G211" s="33" t="n"/>
    </row>
    <row r="212" ht="15.75" customHeight="1" s="39">
      <c r="A212" s="34" t="n"/>
      <c r="B212" s="33" t="n"/>
      <c r="C212" s="33" t="n"/>
      <c r="D212" s="32" t="n"/>
      <c r="E212" s="33" t="n"/>
      <c r="F212" s="33" t="n"/>
      <c r="G212" s="33" t="n"/>
    </row>
    <row r="213" ht="15.75" customHeight="1" s="39">
      <c r="A213" s="34" t="n"/>
      <c r="B213" s="33" t="n"/>
      <c r="C213" s="33" t="n"/>
      <c r="D213" s="32" t="n"/>
      <c r="E213" s="33" t="n"/>
      <c r="F213" s="33" t="n"/>
      <c r="G213" s="33" t="n"/>
    </row>
    <row r="214" ht="15.75" customHeight="1" s="39">
      <c r="A214" s="34" t="n"/>
      <c r="B214" s="33" t="n"/>
      <c r="C214" s="33" t="n"/>
      <c r="D214" s="32" t="n"/>
      <c r="E214" s="33" t="n"/>
      <c r="F214" s="33" t="n"/>
      <c r="G214" s="33" t="n"/>
    </row>
    <row r="215" ht="15.75" customHeight="1" s="39">
      <c r="A215" s="34" t="n"/>
      <c r="B215" s="33" t="n"/>
      <c r="C215" s="33" t="n"/>
      <c r="D215" s="32" t="n"/>
      <c r="E215" s="33" t="n"/>
      <c r="F215" s="33" t="n"/>
      <c r="G215" s="33" t="n"/>
    </row>
    <row r="216" ht="15.75" customHeight="1" s="39">
      <c r="A216" s="34" t="n"/>
      <c r="B216" s="33" t="n"/>
      <c r="C216" s="33" t="n"/>
      <c r="D216" s="32" t="n"/>
      <c r="E216" s="33" t="n"/>
      <c r="F216" s="33" t="n"/>
      <c r="G216" s="33" t="n"/>
    </row>
    <row r="217" ht="15.75" customHeight="1" s="39">
      <c r="A217" s="34" t="n"/>
      <c r="B217" s="33" t="n"/>
      <c r="C217" s="33" t="n"/>
      <c r="D217" s="32" t="n"/>
      <c r="E217" s="33" t="n"/>
      <c r="F217" s="33" t="n"/>
      <c r="G217" s="33" t="n"/>
    </row>
    <row r="218" ht="15.75" customHeight="1" s="39">
      <c r="A218" s="34" t="n"/>
      <c r="B218" s="33" t="n"/>
      <c r="C218" s="33" t="n"/>
      <c r="D218" s="32" t="n"/>
      <c r="E218" s="33" t="n"/>
      <c r="F218" s="33" t="n"/>
      <c r="G218" s="33" t="n"/>
    </row>
    <row r="219" ht="15.75" customHeight="1" s="39">
      <c r="A219" s="34" t="n"/>
      <c r="B219" s="33" t="n"/>
      <c r="C219" s="33" t="n"/>
      <c r="D219" s="32" t="n"/>
      <c r="E219" s="33" t="n"/>
      <c r="F219" s="33" t="n"/>
      <c r="G219" s="33" t="n"/>
    </row>
    <row r="220" ht="15.75" customHeight="1" s="39">
      <c r="A220" s="34" t="n"/>
      <c r="B220" s="33" t="n"/>
      <c r="C220" s="33" t="n"/>
      <c r="D220" s="32" t="n"/>
      <c r="E220" s="33" t="n"/>
      <c r="F220" s="33" t="n"/>
      <c r="G220" s="33" t="n"/>
    </row>
    <row r="221" ht="15.75" customHeight="1" s="39">
      <c r="A221" s="34" t="n"/>
      <c r="B221" s="33" t="n"/>
      <c r="C221" s="33" t="n"/>
      <c r="D221" s="32" t="n"/>
      <c r="E221" s="33" t="n"/>
      <c r="F221" s="33" t="n"/>
      <c r="G221" s="33" t="n"/>
    </row>
    <row r="222" ht="15.75" customHeight="1" s="39">
      <c r="A222" s="34" t="n"/>
      <c r="B222" s="33" t="n"/>
      <c r="C222" s="33" t="n"/>
      <c r="D222" s="32" t="n"/>
      <c r="E222" s="33" t="n"/>
      <c r="F222" s="33" t="n"/>
      <c r="G222" s="33" t="n"/>
    </row>
    <row r="223" ht="15.75" customHeight="1" s="39">
      <c r="A223" s="34" t="n"/>
      <c r="B223" s="33" t="n"/>
      <c r="C223" s="33" t="n"/>
      <c r="D223" s="32" t="n"/>
      <c r="E223" s="33" t="n"/>
      <c r="F223" s="33" t="n"/>
      <c r="G223" s="33" t="n"/>
    </row>
    <row r="224" ht="15.75" customHeight="1" s="39">
      <c r="A224" s="34" t="n"/>
      <c r="B224" s="33" t="n"/>
      <c r="C224" s="33" t="n"/>
      <c r="D224" s="32" t="n"/>
      <c r="E224" s="33" t="n"/>
      <c r="F224" s="33" t="n"/>
      <c r="G224" s="33" t="n"/>
    </row>
    <row r="225" ht="15.75" customHeight="1" s="39">
      <c r="A225" s="34" t="n"/>
      <c r="B225" s="33" t="n"/>
      <c r="C225" s="33" t="n"/>
      <c r="D225" s="32" t="n"/>
      <c r="E225" s="33" t="n"/>
      <c r="F225" s="33" t="n"/>
      <c r="G225" s="33" t="n"/>
    </row>
    <row r="226" ht="15.75" customHeight="1" s="39">
      <c r="A226" s="34" t="n"/>
      <c r="B226" s="33" t="n"/>
      <c r="C226" s="33" t="n"/>
      <c r="D226" s="32" t="n"/>
      <c r="E226" s="33" t="n"/>
      <c r="F226" s="33" t="n"/>
      <c r="G226" s="33" t="n"/>
    </row>
    <row r="227" ht="15.75" customHeight="1" s="39">
      <c r="A227" s="34" t="n"/>
      <c r="B227" s="33" t="n"/>
      <c r="C227" s="33" t="n"/>
      <c r="D227" s="32" t="n"/>
      <c r="E227" s="33" t="n"/>
      <c r="F227" s="33" t="n"/>
      <c r="G227" s="33" t="n"/>
    </row>
    <row r="228" ht="15.75" customHeight="1" s="39">
      <c r="A228" s="34" t="n"/>
      <c r="B228" s="33" t="n"/>
      <c r="C228" s="33" t="n"/>
      <c r="D228" s="32" t="n"/>
      <c r="E228" s="33" t="n"/>
      <c r="F228" s="33" t="n"/>
      <c r="G228" s="33" t="n"/>
    </row>
    <row r="229" ht="15.75" customHeight="1" s="39">
      <c r="A229" s="34" t="n"/>
      <c r="B229" s="33" t="n"/>
      <c r="C229" s="33" t="n"/>
      <c r="D229" s="32" t="n"/>
      <c r="E229" s="33" t="n"/>
      <c r="F229" s="33" t="n"/>
      <c r="G229" s="33" t="n"/>
    </row>
    <row r="230" ht="15.75" customHeight="1" s="39">
      <c r="A230" s="34" t="n"/>
      <c r="B230" s="33" t="n"/>
      <c r="C230" s="33" t="n"/>
      <c r="D230" s="32" t="n"/>
      <c r="E230" s="33" t="n"/>
      <c r="F230" s="33" t="n"/>
      <c r="G230" s="33" t="n"/>
    </row>
    <row r="231" ht="15.75" customHeight="1" s="39">
      <c r="A231" s="34" t="n"/>
      <c r="B231" s="33" t="n"/>
      <c r="C231" s="33" t="n"/>
      <c r="D231" s="32" t="n"/>
      <c r="E231" s="33" t="n"/>
      <c r="F231" s="33" t="n"/>
      <c r="G231" s="33" t="n"/>
    </row>
    <row r="232" ht="15.75" customHeight="1" s="39">
      <c r="A232" s="34" t="n"/>
      <c r="B232" s="33" t="n"/>
      <c r="C232" s="33" t="n"/>
      <c r="D232" s="32" t="n"/>
      <c r="E232" s="33" t="n"/>
      <c r="F232" s="33" t="n"/>
      <c r="G232" s="33" t="n"/>
    </row>
    <row r="233" ht="15.75" customHeight="1" s="39">
      <c r="A233" s="34" t="n"/>
      <c r="B233" s="33" t="n"/>
      <c r="C233" s="33" t="n"/>
      <c r="D233" s="32" t="n"/>
      <c r="E233" s="33" t="n"/>
      <c r="F233" s="33" t="n"/>
      <c r="G233" s="33" t="n"/>
    </row>
    <row r="234" ht="15.75" customHeight="1" s="39">
      <c r="A234" s="34" t="n"/>
      <c r="B234" s="33" t="n"/>
      <c r="C234" s="33" t="n"/>
      <c r="D234" s="32" t="n"/>
      <c r="E234" s="33" t="n"/>
      <c r="F234" s="33" t="n"/>
      <c r="G234" s="33" t="n"/>
    </row>
    <row r="235" ht="15.75" customHeight="1" s="39">
      <c r="A235" s="34" t="n"/>
      <c r="B235" s="33" t="n"/>
      <c r="C235" s="33" t="n"/>
      <c r="D235" s="32" t="n"/>
      <c r="E235" s="33" t="n"/>
      <c r="F235" s="33" t="n"/>
      <c r="G235" s="33" t="n"/>
    </row>
    <row r="236" ht="15.75" customHeight="1" s="39">
      <c r="A236" s="34" t="n"/>
      <c r="B236" s="33" t="n"/>
      <c r="C236" s="33" t="n"/>
      <c r="D236" s="32" t="n"/>
      <c r="E236" s="33" t="n"/>
      <c r="F236" s="33" t="n"/>
      <c r="G236" s="33" t="n"/>
    </row>
    <row r="237" ht="15.75" customHeight="1" s="39">
      <c r="A237" s="34" t="n"/>
      <c r="B237" s="33" t="n"/>
      <c r="C237" s="33" t="n"/>
      <c r="D237" s="32" t="n"/>
      <c r="E237" s="33" t="n"/>
      <c r="F237" s="33" t="n"/>
      <c r="G237" s="33" t="n"/>
    </row>
    <row r="238" ht="15.75" customHeight="1" s="39">
      <c r="A238" s="34" t="n"/>
      <c r="B238" s="33" t="n"/>
      <c r="C238" s="33" t="n"/>
      <c r="D238" s="32" t="n"/>
      <c r="E238" s="33" t="n"/>
      <c r="F238" s="33" t="n"/>
      <c r="G238" s="33" t="n"/>
    </row>
    <row r="239" ht="15.75" customHeight="1" s="39">
      <c r="A239" s="34" t="n"/>
      <c r="B239" s="33" t="n"/>
      <c r="C239" s="33" t="n"/>
      <c r="D239" s="32" t="n"/>
      <c r="E239" s="33" t="n"/>
      <c r="F239" s="33" t="n"/>
      <c r="G239" s="33" t="n"/>
    </row>
    <row r="240" ht="15.75" customHeight="1" s="39">
      <c r="A240" s="34" t="n"/>
      <c r="B240" s="33" t="n"/>
      <c r="C240" s="33" t="n"/>
      <c r="D240" s="32" t="n"/>
      <c r="E240" s="33" t="n"/>
      <c r="F240" s="33" t="n"/>
      <c r="G240" s="33" t="n"/>
    </row>
    <row r="241" ht="15.75" customHeight="1" s="39">
      <c r="A241" s="34" t="n"/>
      <c r="B241" s="33" t="n"/>
      <c r="C241" s="33" t="n"/>
      <c r="D241" s="32" t="n"/>
      <c r="E241" s="33" t="n"/>
      <c r="F241" s="33" t="n"/>
      <c r="G241" s="33" t="n"/>
    </row>
    <row r="242" ht="15.75" customHeight="1" s="39">
      <c r="A242" s="34" t="n"/>
      <c r="B242" s="33" t="n"/>
      <c r="C242" s="33" t="n"/>
      <c r="D242" s="32" t="n"/>
      <c r="E242" s="33" t="n"/>
      <c r="F242" s="33" t="n"/>
      <c r="G242" s="33" t="n"/>
    </row>
    <row r="243" ht="15.75" customHeight="1" s="39">
      <c r="A243" s="34" t="n"/>
      <c r="B243" s="33" t="n"/>
      <c r="C243" s="33" t="n"/>
      <c r="D243" s="32" t="n"/>
      <c r="E243" s="33" t="n"/>
      <c r="F243" s="33" t="n"/>
      <c r="G243" s="33" t="n"/>
    </row>
    <row r="244" ht="15.75" customHeight="1" s="39">
      <c r="A244" s="34" t="n"/>
      <c r="B244" s="33" t="n"/>
      <c r="C244" s="33" t="n"/>
      <c r="D244" s="32" t="n"/>
      <c r="E244" s="33" t="n"/>
      <c r="F244" s="33" t="n"/>
      <c r="G244" s="33" t="n"/>
    </row>
    <row r="245" ht="15.75" customHeight="1" s="39">
      <c r="A245" s="34" t="n"/>
      <c r="B245" s="33" t="n"/>
      <c r="C245" s="33" t="n"/>
      <c r="D245" s="32" t="n"/>
      <c r="E245" s="33" t="n"/>
      <c r="F245" s="33" t="n"/>
      <c r="G245" s="33" t="n"/>
    </row>
    <row r="246" ht="15.75" customHeight="1" s="39">
      <c r="A246" s="34" t="n"/>
      <c r="B246" s="33" t="n"/>
      <c r="C246" s="33" t="n"/>
      <c r="D246" s="32" t="n"/>
      <c r="E246" s="33" t="n"/>
      <c r="F246" s="33" t="n"/>
      <c r="G246" s="33" t="n"/>
    </row>
    <row r="247" ht="15.75" customHeight="1" s="39">
      <c r="A247" s="34" t="n"/>
      <c r="B247" s="33" t="n"/>
      <c r="C247" s="33" t="n"/>
      <c r="D247" s="32" t="n"/>
      <c r="E247" s="33" t="n"/>
      <c r="F247" s="33" t="n"/>
      <c r="G247" s="33" t="n"/>
    </row>
    <row r="248" ht="15.75" customHeight="1" s="39">
      <c r="A248" s="34" t="n"/>
      <c r="B248" s="33" t="n"/>
      <c r="C248" s="33" t="n"/>
      <c r="D248" s="32" t="n"/>
      <c r="E248" s="33" t="n"/>
      <c r="F248" s="33" t="n"/>
      <c r="G248" s="33" t="n"/>
    </row>
    <row r="249" ht="15.75" customHeight="1" s="39">
      <c r="A249" s="34" t="n"/>
      <c r="B249" s="33" t="n"/>
      <c r="C249" s="33" t="n"/>
      <c r="D249" s="32" t="n"/>
      <c r="E249" s="33" t="n"/>
      <c r="F249" s="33" t="n"/>
      <c r="G249" s="33" t="n"/>
    </row>
    <row r="250" ht="15.75" customHeight="1" s="39">
      <c r="A250" s="34" t="n"/>
      <c r="B250" s="33" t="n"/>
      <c r="C250" s="33" t="n"/>
      <c r="D250" s="32" t="n"/>
      <c r="E250" s="33" t="n"/>
      <c r="F250" s="33" t="n"/>
      <c r="G250" s="33" t="n"/>
    </row>
    <row r="251" ht="15.75" customHeight="1" s="39">
      <c r="A251" s="34" t="n"/>
      <c r="B251" s="33" t="n"/>
      <c r="C251" s="33" t="n"/>
      <c r="D251" s="32" t="n"/>
      <c r="E251" s="33" t="n"/>
      <c r="F251" s="33" t="n"/>
      <c r="G251" s="33" t="n"/>
    </row>
    <row r="252" ht="15.75" customHeight="1" s="39">
      <c r="A252" s="34" t="n"/>
      <c r="B252" s="33" t="n"/>
      <c r="C252" s="33" t="n"/>
      <c r="D252" s="32" t="n"/>
      <c r="E252" s="33" t="n"/>
      <c r="F252" s="33" t="n"/>
      <c r="G252" s="33" t="n"/>
    </row>
    <row r="253" ht="15.75" customHeight="1" s="39">
      <c r="A253" s="34" t="n"/>
      <c r="B253" s="33" t="n"/>
      <c r="C253" s="33" t="n"/>
      <c r="D253" s="32" t="n"/>
      <c r="E253" s="33" t="n"/>
      <c r="F253" s="33" t="n"/>
      <c r="G253" s="33" t="n"/>
    </row>
    <row r="254" ht="15.75" customHeight="1" s="39">
      <c r="A254" s="34" t="n"/>
      <c r="B254" s="33" t="n"/>
      <c r="C254" s="33" t="n"/>
      <c r="D254" s="32" t="n"/>
      <c r="E254" s="33" t="n"/>
      <c r="F254" s="33" t="n"/>
      <c r="G254" s="33" t="n"/>
    </row>
    <row r="255" ht="15.75" customHeight="1" s="39">
      <c r="A255" s="34" t="n"/>
      <c r="B255" s="33" t="n"/>
      <c r="C255" s="33" t="n"/>
      <c r="D255" s="32" t="n"/>
      <c r="E255" s="33" t="n"/>
      <c r="F255" s="33" t="n"/>
      <c r="G255" s="33" t="n"/>
    </row>
    <row r="256" ht="15.75" customHeight="1" s="39">
      <c r="A256" s="34" t="n"/>
      <c r="B256" s="33" t="n"/>
      <c r="C256" s="33" t="n"/>
      <c r="D256" s="32" t="n"/>
      <c r="E256" s="33" t="n"/>
      <c r="F256" s="33" t="n"/>
      <c r="G256" s="33" t="n"/>
    </row>
    <row r="257" ht="15.75" customHeight="1" s="39">
      <c r="A257" s="34" t="n"/>
      <c r="B257" s="33" t="n"/>
      <c r="C257" s="33" t="n"/>
      <c r="D257" s="32" t="n"/>
      <c r="E257" s="33" t="n"/>
      <c r="F257" s="33" t="n"/>
      <c r="G257" s="33" t="n"/>
    </row>
    <row r="258" ht="15.75" customHeight="1" s="39">
      <c r="A258" s="34" t="n"/>
      <c r="B258" s="33" t="n"/>
      <c r="C258" s="33" t="n"/>
      <c r="D258" s="32" t="n"/>
      <c r="E258" s="33" t="n"/>
      <c r="F258" s="33" t="n"/>
      <c r="G258" s="33" t="n"/>
    </row>
    <row r="259" ht="15.75" customHeight="1" s="39">
      <c r="A259" s="34" t="n"/>
      <c r="B259" s="33" t="n"/>
      <c r="C259" s="33" t="n"/>
      <c r="D259" s="32" t="n"/>
      <c r="E259" s="33" t="n"/>
      <c r="F259" s="33" t="n"/>
      <c r="G259" s="33" t="n"/>
    </row>
    <row r="260" ht="15.75" customHeight="1" s="39">
      <c r="A260" s="34" t="n"/>
      <c r="B260" s="33" t="n"/>
      <c r="C260" s="33" t="n"/>
      <c r="D260" s="32" t="n"/>
      <c r="E260" s="33" t="n"/>
      <c r="F260" s="33" t="n"/>
      <c r="G260" s="33" t="n"/>
    </row>
    <row r="261" ht="15.75" customHeight="1" s="39">
      <c r="A261" s="34" t="n"/>
      <c r="B261" s="33" t="n"/>
      <c r="C261" s="33" t="n"/>
      <c r="D261" s="32" t="n"/>
      <c r="E261" s="33" t="n"/>
      <c r="F261" s="33" t="n"/>
      <c r="G261" s="33" t="n"/>
    </row>
    <row r="262" ht="15.75" customHeight="1" s="39">
      <c r="A262" s="34" t="n"/>
      <c r="B262" s="33" t="n"/>
      <c r="C262" s="33" t="n"/>
      <c r="D262" s="32" t="n"/>
      <c r="E262" s="33" t="n"/>
      <c r="F262" s="33" t="n"/>
      <c r="G262" s="33" t="n"/>
    </row>
    <row r="263" ht="15.75" customHeight="1" s="39">
      <c r="A263" s="34" t="n"/>
      <c r="B263" s="33" t="n"/>
      <c r="C263" s="33" t="n"/>
      <c r="D263" s="32" t="n"/>
      <c r="E263" s="33" t="n"/>
      <c r="F263" s="33" t="n"/>
      <c r="G263" s="33" t="n"/>
    </row>
    <row r="264" ht="15.75" customHeight="1" s="39">
      <c r="A264" s="34" t="n"/>
      <c r="B264" s="33" t="n"/>
      <c r="C264" s="33" t="n"/>
      <c r="D264" s="32" t="n"/>
      <c r="E264" s="33" t="n"/>
      <c r="F264" s="33" t="n"/>
      <c r="G264" s="33" t="n"/>
    </row>
    <row r="265" ht="15.75" customHeight="1" s="39">
      <c r="A265" s="34" t="n"/>
      <c r="B265" s="33" t="n"/>
      <c r="C265" s="33" t="n"/>
      <c r="D265" s="32" t="n"/>
      <c r="E265" s="33" t="n"/>
      <c r="F265" s="33" t="n"/>
      <c r="G265" s="33" t="n"/>
    </row>
    <row r="266" ht="15.75" customHeight="1" s="39">
      <c r="A266" s="34" t="n"/>
      <c r="B266" s="33" t="n"/>
      <c r="C266" s="33" t="n"/>
      <c r="D266" s="32" t="n"/>
      <c r="E266" s="33" t="n"/>
      <c r="F266" s="33" t="n"/>
      <c r="G266" s="33" t="n"/>
    </row>
    <row r="267" ht="15.75" customHeight="1" s="39">
      <c r="A267" s="34" t="n"/>
      <c r="B267" s="33" t="n"/>
      <c r="C267" s="33" t="n"/>
      <c r="D267" s="32" t="n"/>
      <c r="E267" s="33" t="n"/>
      <c r="F267" s="33" t="n"/>
      <c r="G267" s="33" t="n"/>
    </row>
    <row r="268" ht="15.75" customHeight="1" s="39">
      <c r="A268" s="34" t="n"/>
      <c r="B268" s="33" t="n"/>
      <c r="C268" s="33" t="n"/>
      <c r="D268" s="32" t="n"/>
      <c r="E268" s="33" t="n"/>
      <c r="F268" s="33" t="n"/>
      <c r="G268" s="33" t="n"/>
    </row>
    <row r="269" ht="15.75" customHeight="1" s="39">
      <c r="A269" s="34" t="n"/>
      <c r="B269" s="33" t="n"/>
      <c r="C269" s="33" t="n"/>
      <c r="D269" s="32" t="n"/>
      <c r="E269" s="33" t="n"/>
      <c r="F269" s="33" t="n"/>
      <c r="G269" s="33" t="n"/>
    </row>
    <row r="270" ht="15.75" customHeight="1" s="39">
      <c r="A270" s="34" t="n"/>
      <c r="B270" s="33" t="n"/>
      <c r="C270" s="33" t="n"/>
      <c r="D270" s="32" t="n"/>
      <c r="E270" s="33" t="n"/>
      <c r="F270" s="33" t="n"/>
      <c r="G270" s="33" t="n"/>
    </row>
    <row r="271" ht="15.75" customHeight="1" s="39">
      <c r="A271" s="34" t="n"/>
      <c r="B271" s="33" t="n"/>
      <c r="C271" s="33" t="n"/>
      <c r="D271" s="32" t="n"/>
      <c r="E271" s="33" t="n"/>
      <c r="F271" s="33" t="n"/>
      <c r="G271" s="33" t="n"/>
    </row>
    <row r="272" ht="15.75" customHeight="1" s="39">
      <c r="A272" s="34" t="n"/>
      <c r="B272" s="33" t="n"/>
      <c r="C272" s="33" t="n"/>
      <c r="D272" s="32" t="n"/>
      <c r="E272" s="33" t="n"/>
      <c r="F272" s="33" t="n"/>
      <c r="G272" s="33" t="n"/>
    </row>
    <row r="273" ht="15.75" customHeight="1" s="39">
      <c r="A273" s="34" t="n"/>
      <c r="B273" s="33" t="n"/>
      <c r="C273" s="33" t="n"/>
      <c r="D273" s="32" t="n"/>
      <c r="E273" s="33" t="n"/>
      <c r="F273" s="33" t="n"/>
      <c r="G273" s="33" t="n"/>
    </row>
    <row r="274" ht="15.75" customHeight="1" s="39">
      <c r="A274" s="34" t="n"/>
      <c r="B274" s="33" t="n"/>
      <c r="C274" s="33" t="n"/>
      <c r="D274" s="32" t="n"/>
      <c r="E274" s="33" t="n"/>
      <c r="F274" s="33" t="n"/>
      <c r="G274" s="33" t="n"/>
    </row>
    <row r="275" ht="15.75" customHeight="1" s="39">
      <c r="A275" s="34" t="n"/>
      <c r="B275" s="33" t="n"/>
      <c r="C275" s="33" t="n"/>
      <c r="D275" s="32" t="n"/>
      <c r="E275" s="33" t="n"/>
      <c r="F275" s="33" t="n"/>
      <c r="G275" s="33" t="n"/>
    </row>
    <row r="276" ht="15.75" customHeight="1" s="39">
      <c r="A276" s="34" t="n"/>
      <c r="B276" s="33" t="n"/>
      <c r="C276" s="33" t="n"/>
      <c r="D276" s="32" t="n"/>
      <c r="E276" s="33" t="n"/>
      <c r="F276" s="33" t="n"/>
      <c r="G276" s="33" t="n"/>
    </row>
    <row r="277" ht="15.75" customHeight="1" s="39">
      <c r="A277" s="34" t="n"/>
      <c r="B277" s="33" t="n"/>
      <c r="C277" s="33" t="n"/>
      <c r="D277" s="32" t="n"/>
      <c r="E277" s="33" t="n"/>
      <c r="F277" s="33" t="n"/>
      <c r="G277" s="33" t="n"/>
    </row>
    <row r="278" ht="15.75" customHeight="1" s="39">
      <c r="A278" s="34" t="n"/>
      <c r="B278" s="33" t="n"/>
      <c r="C278" s="33" t="n"/>
      <c r="D278" s="32" t="n"/>
      <c r="E278" s="33" t="n"/>
      <c r="F278" s="33" t="n"/>
      <c r="G278" s="33" t="n"/>
    </row>
    <row r="279" ht="15.75" customHeight="1" s="39">
      <c r="A279" s="34" t="n"/>
      <c r="B279" s="33" t="n"/>
      <c r="C279" s="33" t="n"/>
      <c r="D279" s="32" t="n"/>
      <c r="E279" s="33" t="n"/>
      <c r="F279" s="33" t="n"/>
      <c r="G279" s="33" t="n"/>
    </row>
    <row r="280" ht="15.75" customHeight="1" s="39">
      <c r="A280" s="34" t="n"/>
      <c r="B280" s="33" t="n"/>
      <c r="C280" s="33" t="n"/>
      <c r="D280" s="32" t="n"/>
      <c r="E280" s="33" t="n"/>
      <c r="F280" s="33" t="n"/>
      <c r="G280" s="33" t="n"/>
    </row>
    <row r="281" ht="15.75" customHeight="1" s="39">
      <c r="A281" s="34" t="n"/>
      <c r="B281" s="33" t="n"/>
      <c r="C281" s="33" t="n"/>
      <c r="D281" s="32" t="n"/>
      <c r="E281" s="33" t="n"/>
      <c r="F281" s="33" t="n"/>
      <c r="G281" s="33" t="n"/>
    </row>
    <row r="282" ht="15.75" customHeight="1" s="39">
      <c r="A282" s="34" t="n"/>
      <c r="B282" s="33" t="n"/>
      <c r="C282" s="33" t="n"/>
      <c r="D282" s="32" t="n"/>
      <c r="E282" s="33" t="n"/>
      <c r="F282" s="33" t="n"/>
      <c r="G282" s="33" t="n"/>
    </row>
    <row r="283" ht="15.75" customHeight="1" s="39">
      <c r="A283" s="34" t="n"/>
      <c r="B283" s="33" t="n"/>
      <c r="C283" s="33" t="n"/>
      <c r="D283" s="32" t="n"/>
      <c r="E283" s="33" t="n"/>
      <c r="F283" s="33" t="n"/>
      <c r="G283" s="33" t="n"/>
    </row>
    <row r="284" ht="15.75" customHeight="1" s="39">
      <c r="A284" s="34" t="n"/>
      <c r="B284" s="33" t="n"/>
      <c r="C284" s="33" t="n"/>
      <c r="D284" s="32" t="n"/>
      <c r="E284" s="33" t="n"/>
      <c r="F284" s="33" t="n"/>
      <c r="G284" s="33" t="n"/>
    </row>
    <row r="285" ht="15.75" customHeight="1" s="39">
      <c r="A285" s="34" t="n"/>
      <c r="B285" s="33" t="n"/>
      <c r="C285" s="33" t="n"/>
      <c r="D285" s="32" t="n"/>
      <c r="E285" s="33" t="n"/>
      <c r="F285" s="33" t="n"/>
      <c r="G285" s="33" t="n"/>
    </row>
    <row r="286" ht="15.75" customHeight="1" s="39">
      <c r="A286" s="34" t="n"/>
      <c r="B286" s="33" t="n"/>
      <c r="C286" s="33" t="n"/>
      <c r="D286" s="32" t="n"/>
      <c r="E286" s="33" t="n"/>
      <c r="F286" s="33" t="n"/>
      <c r="G286" s="33" t="n"/>
    </row>
    <row r="287" ht="15.75" customHeight="1" s="39">
      <c r="A287" s="34" t="n"/>
      <c r="B287" s="33" t="n"/>
      <c r="C287" s="33" t="n"/>
      <c r="D287" s="32" t="n"/>
      <c r="E287" s="33" t="n"/>
      <c r="F287" s="33" t="n"/>
      <c r="G287" s="33" t="n"/>
    </row>
    <row r="288" ht="15.75" customHeight="1" s="39">
      <c r="A288" s="34" t="n"/>
      <c r="B288" s="33" t="n"/>
      <c r="C288" s="33" t="n"/>
      <c r="D288" s="32" t="n"/>
      <c r="E288" s="33" t="n"/>
      <c r="F288" s="33" t="n"/>
      <c r="G288" s="33" t="n"/>
    </row>
    <row r="289" ht="15.75" customHeight="1" s="39">
      <c r="A289" s="34" t="n"/>
      <c r="B289" s="33" t="n"/>
      <c r="C289" s="33" t="n"/>
      <c r="D289" s="32" t="n"/>
      <c r="E289" s="33" t="n"/>
      <c r="F289" s="33" t="n"/>
      <c r="G289" s="33" t="n"/>
    </row>
    <row r="290" ht="15.75" customHeight="1" s="39">
      <c r="A290" s="34" t="n"/>
      <c r="B290" s="33" t="n"/>
      <c r="C290" s="33" t="n"/>
      <c r="D290" s="32" t="n"/>
      <c r="E290" s="33" t="n"/>
      <c r="F290" s="33" t="n"/>
      <c r="G290" s="33" t="n"/>
    </row>
    <row r="291" ht="15.75" customHeight="1" s="39">
      <c r="A291" s="34" t="n"/>
      <c r="B291" s="33" t="n"/>
      <c r="C291" s="33" t="n"/>
      <c r="D291" s="32" t="n"/>
      <c r="E291" s="33" t="n"/>
      <c r="F291" s="33" t="n"/>
      <c r="G291" s="33" t="n"/>
    </row>
    <row r="292" ht="15.75" customHeight="1" s="39">
      <c r="A292" s="34" t="n"/>
      <c r="B292" s="33" t="n"/>
      <c r="C292" s="33" t="n"/>
      <c r="D292" s="32" t="n"/>
      <c r="E292" s="33" t="n"/>
      <c r="F292" s="33" t="n"/>
      <c r="G292" s="33" t="n"/>
    </row>
    <row r="293" ht="15.75" customHeight="1" s="39">
      <c r="A293" s="34" t="n"/>
      <c r="B293" s="33" t="n"/>
      <c r="C293" s="33" t="n"/>
      <c r="D293" s="32" t="n"/>
      <c r="E293" s="33" t="n"/>
      <c r="F293" s="33" t="n"/>
      <c r="G293" s="33" t="n"/>
    </row>
    <row r="294" ht="15.75" customHeight="1" s="39">
      <c r="A294" s="34" t="n"/>
      <c r="B294" s="33" t="n"/>
      <c r="C294" s="33" t="n"/>
      <c r="D294" s="32" t="n"/>
      <c r="E294" s="33" t="n"/>
      <c r="F294" s="33" t="n"/>
      <c r="G294" s="33" t="n"/>
    </row>
    <row r="295" ht="15.75" customHeight="1" s="39">
      <c r="A295" s="34" t="n"/>
      <c r="B295" s="33" t="n"/>
      <c r="C295" s="33" t="n"/>
      <c r="D295" s="32" t="n"/>
      <c r="E295" s="33" t="n"/>
      <c r="F295" s="33" t="n"/>
      <c r="G295" s="33" t="n"/>
    </row>
    <row r="296" ht="15.75" customHeight="1" s="39">
      <c r="A296" s="34" t="n"/>
      <c r="B296" s="33" t="n"/>
      <c r="C296" s="33" t="n"/>
      <c r="D296" s="32" t="n"/>
      <c r="E296" s="33" t="n"/>
      <c r="F296" s="33" t="n"/>
      <c r="G296" s="33" t="n"/>
    </row>
    <row r="297" ht="15.75" customHeight="1" s="39">
      <c r="A297" s="34" t="n"/>
      <c r="B297" s="33" t="n"/>
      <c r="C297" s="33" t="n"/>
      <c r="D297" s="32" t="n"/>
      <c r="E297" s="33" t="n"/>
      <c r="F297" s="33" t="n"/>
      <c r="G297" s="33" t="n"/>
    </row>
    <row r="298" ht="15.75" customHeight="1" s="39">
      <c r="A298" s="34" t="n"/>
      <c r="B298" s="33" t="n"/>
      <c r="C298" s="33" t="n"/>
      <c r="D298" s="32" t="n"/>
      <c r="E298" s="33" t="n"/>
      <c r="F298" s="33" t="n"/>
      <c r="G298" s="33" t="n"/>
    </row>
    <row r="299" ht="15.75" customHeight="1" s="39">
      <c r="A299" s="34" t="n"/>
      <c r="B299" s="33" t="n"/>
      <c r="C299" s="33" t="n"/>
      <c r="D299" s="32" t="n"/>
      <c r="E299" s="33" t="n"/>
      <c r="F299" s="33" t="n"/>
      <c r="G299" s="33" t="n"/>
    </row>
    <row r="300" ht="15.75" customHeight="1" s="39">
      <c r="A300" s="34" t="n"/>
      <c r="B300" s="33" t="n"/>
      <c r="C300" s="33" t="n"/>
      <c r="D300" s="32" t="n"/>
      <c r="E300" s="33" t="n"/>
      <c r="F300" s="33" t="n"/>
      <c r="G300" s="33" t="n"/>
    </row>
    <row r="301" ht="15.75" customHeight="1" s="39">
      <c r="A301" s="34" t="n"/>
      <c r="B301" s="33" t="n"/>
      <c r="C301" s="33" t="n"/>
      <c r="D301" s="32" t="n"/>
      <c r="E301" s="33" t="n"/>
      <c r="F301" s="33" t="n"/>
      <c r="G301" s="33" t="n"/>
    </row>
    <row r="302" ht="15.75" customHeight="1" s="39">
      <c r="A302" s="34" t="n"/>
      <c r="B302" s="33" t="n"/>
      <c r="C302" s="33" t="n"/>
      <c r="D302" s="32" t="n"/>
      <c r="E302" s="33" t="n"/>
      <c r="F302" s="33" t="n"/>
      <c r="G302" s="33" t="n"/>
    </row>
    <row r="303" ht="15.75" customHeight="1" s="39">
      <c r="A303" s="34" t="n"/>
      <c r="B303" s="33" t="n"/>
      <c r="C303" s="33" t="n"/>
      <c r="D303" s="32" t="n"/>
      <c r="E303" s="33" t="n"/>
      <c r="F303" s="33" t="n"/>
      <c r="G303" s="33" t="n"/>
    </row>
    <row r="304" ht="15.75" customHeight="1" s="39">
      <c r="A304" s="34" t="n"/>
      <c r="B304" s="33" t="n"/>
      <c r="C304" s="33" t="n"/>
      <c r="D304" s="32" t="n"/>
      <c r="E304" s="33" t="n"/>
      <c r="F304" s="33" t="n"/>
      <c r="G304" s="33" t="n"/>
    </row>
    <row r="305" ht="15.75" customHeight="1" s="39">
      <c r="A305" s="34" t="n"/>
      <c r="B305" s="33" t="n"/>
      <c r="C305" s="33" t="n"/>
      <c r="D305" s="32" t="n"/>
      <c r="E305" s="33" t="n"/>
      <c r="F305" s="33" t="n"/>
      <c r="G305" s="33" t="n"/>
    </row>
    <row r="306" ht="15.75" customHeight="1" s="39">
      <c r="A306" s="34" t="n"/>
      <c r="B306" s="33" t="n"/>
      <c r="C306" s="33" t="n"/>
      <c r="D306" s="32" t="n"/>
      <c r="E306" s="33" t="n"/>
      <c r="F306" s="33" t="n"/>
      <c r="G306" s="33" t="n"/>
    </row>
    <row r="307" ht="15.75" customHeight="1" s="39">
      <c r="A307" s="34" t="n"/>
      <c r="B307" s="33" t="n"/>
      <c r="C307" s="33" t="n"/>
      <c r="D307" s="32" t="n"/>
      <c r="E307" s="33" t="n"/>
      <c r="F307" s="33" t="n"/>
      <c r="G307" s="33" t="n"/>
    </row>
    <row r="308" ht="15.75" customHeight="1" s="39">
      <c r="A308" s="34" t="n"/>
      <c r="B308" s="33" t="n"/>
      <c r="C308" s="33" t="n"/>
      <c r="D308" s="32" t="n"/>
      <c r="E308" s="33" t="n"/>
      <c r="F308" s="33" t="n"/>
      <c r="G308" s="33" t="n"/>
    </row>
    <row r="309" ht="15.75" customHeight="1" s="39">
      <c r="A309" s="34" t="n"/>
      <c r="B309" s="33" t="n"/>
      <c r="C309" s="33" t="n"/>
      <c r="D309" s="32" t="n"/>
      <c r="E309" s="33" t="n"/>
      <c r="F309" s="33" t="n"/>
      <c r="G309" s="33" t="n"/>
    </row>
    <row r="310" ht="15.75" customHeight="1" s="39">
      <c r="A310" s="34" t="n"/>
      <c r="B310" s="33" t="n"/>
      <c r="C310" s="33" t="n"/>
      <c r="D310" s="32" t="n"/>
      <c r="E310" s="33" t="n"/>
      <c r="F310" s="33" t="n"/>
      <c r="G310" s="33" t="n"/>
    </row>
    <row r="311" ht="15.75" customHeight="1" s="39">
      <c r="A311" s="34" t="n"/>
      <c r="B311" s="33" t="n"/>
      <c r="C311" s="33" t="n"/>
      <c r="D311" s="32" t="n"/>
      <c r="E311" s="33" t="n"/>
      <c r="F311" s="33" t="n"/>
      <c r="G311" s="33" t="n"/>
    </row>
    <row r="312" ht="15.75" customHeight="1" s="39">
      <c r="A312" s="34" t="n"/>
      <c r="B312" s="33" t="n"/>
      <c r="C312" s="33" t="n"/>
      <c r="D312" s="32" t="n"/>
      <c r="E312" s="33" t="n"/>
      <c r="F312" s="33" t="n"/>
      <c r="G312" s="33" t="n"/>
    </row>
    <row r="313" ht="15.75" customHeight="1" s="39">
      <c r="A313" s="34" t="n"/>
      <c r="B313" s="33" t="n"/>
      <c r="C313" s="33" t="n"/>
      <c r="D313" s="32" t="n"/>
      <c r="E313" s="33" t="n"/>
      <c r="F313" s="33" t="n"/>
      <c r="G313" s="33" t="n"/>
    </row>
    <row r="314" ht="15.75" customHeight="1" s="39">
      <c r="A314" s="34" t="n"/>
      <c r="B314" s="33" t="n"/>
      <c r="C314" s="33" t="n"/>
      <c r="D314" s="32" t="n"/>
      <c r="E314" s="33" t="n"/>
      <c r="F314" s="33" t="n"/>
      <c r="G314" s="33" t="n"/>
    </row>
    <row r="315" ht="15.75" customHeight="1" s="39">
      <c r="A315" s="34" t="n"/>
      <c r="B315" s="33" t="n"/>
      <c r="C315" s="33" t="n"/>
      <c r="D315" s="32" t="n"/>
      <c r="E315" s="33" t="n"/>
      <c r="F315" s="33" t="n"/>
      <c r="G315" s="33" t="n"/>
    </row>
    <row r="316" ht="15.75" customHeight="1" s="39">
      <c r="A316" s="34" t="n"/>
      <c r="B316" s="33" t="n"/>
      <c r="C316" s="33" t="n"/>
      <c r="D316" s="32" t="n"/>
      <c r="E316" s="33" t="n"/>
      <c r="F316" s="33" t="n"/>
      <c r="G316" s="33" t="n"/>
    </row>
    <row r="317" ht="15.75" customHeight="1" s="39">
      <c r="A317" s="34" t="n"/>
      <c r="B317" s="33" t="n"/>
      <c r="C317" s="33" t="n"/>
      <c r="D317" s="32" t="n"/>
      <c r="E317" s="33" t="n"/>
      <c r="F317" s="33" t="n"/>
      <c r="G317" s="33" t="n"/>
    </row>
    <row r="318" ht="15.75" customHeight="1" s="39">
      <c r="A318" s="34" t="n"/>
      <c r="B318" s="33" t="n"/>
      <c r="C318" s="33" t="n"/>
      <c r="D318" s="32" t="n"/>
      <c r="E318" s="33" t="n"/>
      <c r="F318" s="33" t="n"/>
      <c r="G318" s="33" t="n"/>
    </row>
    <row r="319" ht="15.75" customHeight="1" s="39">
      <c r="A319" s="34" t="n"/>
      <c r="B319" s="33" t="n"/>
      <c r="C319" s="33" t="n"/>
      <c r="D319" s="32" t="n"/>
      <c r="E319" s="33" t="n"/>
      <c r="F319" s="33" t="n"/>
      <c r="G319" s="33" t="n"/>
    </row>
    <row r="320" ht="15.75" customHeight="1" s="39">
      <c r="A320" s="34" t="n"/>
      <c r="B320" s="33" t="n"/>
      <c r="C320" s="33" t="n"/>
      <c r="D320" s="32" t="n"/>
      <c r="E320" s="33" t="n"/>
      <c r="F320" s="33" t="n"/>
      <c r="G320" s="33" t="n"/>
    </row>
    <row r="321" ht="15.75" customHeight="1" s="39">
      <c r="A321" s="34" t="n"/>
      <c r="B321" s="33" t="n"/>
      <c r="C321" s="33" t="n"/>
      <c r="D321" s="32" t="n"/>
      <c r="E321" s="33" t="n"/>
      <c r="F321" s="33" t="n"/>
      <c r="G321" s="33" t="n"/>
    </row>
    <row r="322" ht="15.75" customHeight="1" s="39">
      <c r="A322" s="34" t="n"/>
      <c r="B322" s="33" t="n"/>
      <c r="C322" s="33" t="n"/>
      <c r="D322" s="32" t="n"/>
      <c r="E322" s="33" t="n"/>
      <c r="F322" s="33" t="n"/>
      <c r="G322" s="33" t="n"/>
    </row>
    <row r="323" ht="15.75" customHeight="1" s="39">
      <c r="A323" s="34" t="n"/>
      <c r="B323" s="33" t="n"/>
      <c r="C323" s="33" t="n"/>
      <c r="D323" s="32" t="n"/>
      <c r="E323" s="33" t="n"/>
      <c r="F323" s="33" t="n"/>
      <c r="G323" s="33" t="n"/>
    </row>
    <row r="324" ht="15.75" customHeight="1" s="39">
      <c r="A324" s="34" t="n"/>
      <c r="B324" s="33" t="n"/>
      <c r="C324" s="33" t="n"/>
      <c r="D324" s="32" t="n"/>
      <c r="E324" s="33" t="n"/>
      <c r="F324" s="33" t="n"/>
      <c r="G324" s="33" t="n"/>
    </row>
    <row r="325" ht="15.75" customHeight="1" s="39">
      <c r="A325" s="34" t="n"/>
      <c r="B325" s="33" t="n"/>
      <c r="C325" s="33" t="n"/>
      <c r="D325" s="32" t="n"/>
      <c r="E325" s="33" t="n"/>
      <c r="F325" s="33" t="n"/>
      <c r="G325" s="33" t="n"/>
    </row>
    <row r="326" ht="15.75" customHeight="1" s="39">
      <c r="A326" s="34" t="n"/>
      <c r="B326" s="33" t="n"/>
      <c r="C326" s="33" t="n"/>
      <c r="D326" s="32" t="n"/>
      <c r="E326" s="33" t="n"/>
      <c r="F326" s="33" t="n"/>
      <c r="G326" s="33" t="n"/>
    </row>
    <row r="327" ht="15.75" customHeight="1" s="39">
      <c r="A327" s="34" t="n"/>
      <c r="B327" s="33" t="n"/>
      <c r="C327" s="33" t="n"/>
      <c r="D327" s="32" t="n"/>
      <c r="E327" s="33" t="n"/>
      <c r="F327" s="33" t="n"/>
      <c r="G327" s="33" t="n"/>
    </row>
    <row r="328" ht="15.75" customHeight="1" s="39">
      <c r="A328" s="34" t="n"/>
      <c r="B328" s="33" t="n"/>
      <c r="C328" s="33" t="n"/>
      <c r="D328" s="32" t="n"/>
      <c r="E328" s="33" t="n"/>
      <c r="F328" s="33" t="n"/>
      <c r="G328" s="33" t="n"/>
    </row>
    <row r="329" ht="15.75" customHeight="1" s="39">
      <c r="A329" s="34" t="n"/>
      <c r="B329" s="33" t="n"/>
      <c r="C329" s="33" t="n"/>
      <c r="D329" s="32" t="n"/>
      <c r="E329" s="33" t="n"/>
      <c r="F329" s="33" t="n"/>
      <c r="G329" s="33" t="n"/>
    </row>
    <row r="330" ht="15.75" customHeight="1" s="39">
      <c r="A330" s="34" t="n"/>
      <c r="B330" s="33" t="n"/>
      <c r="C330" s="33" t="n"/>
      <c r="D330" s="32" t="n"/>
      <c r="E330" s="33" t="n"/>
      <c r="F330" s="33" t="n"/>
      <c r="G330" s="33" t="n"/>
    </row>
    <row r="331" ht="15.75" customHeight="1" s="39">
      <c r="A331" s="34" t="n"/>
      <c r="B331" s="33" t="n"/>
      <c r="C331" s="33" t="n"/>
      <c r="D331" s="32" t="n"/>
      <c r="E331" s="33" t="n"/>
      <c r="F331" s="33" t="n"/>
      <c r="G331" s="33" t="n"/>
    </row>
    <row r="332" ht="15.75" customHeight="1" s="39">
      <c r="A332" s="34" t="n"/>
      <c r="B332" s="33" t="n"/>
      <c r="C332" s="33" t="n"/>
      <c r="D332" s="32" t="n"/>
      <c r="E332" s="33" t="n"/>
      <c r="F332" s="33" t="n"/>
      <c r="G332" s="33" t="n"/>
    </row>
    <row r="333" ht="15.75" customHeight="1" s="39">
      <c r="A333" s="34" t="n"/>
      <c r="B333" s="33" t="n"/>
      <c r="C333" s="33" t="n"/>
      <c r="D333" s="32" t="n"/>
      <c r="E333" s="33" t="n"/>
      <c r="F333" s="33" t="n"/>
      <c r="G333" s="33" t="n"/>
    </row>
    <row r="334" ht="15.75" customHeight="1" s="39">
      <c r="A334" s="34" t="n"/>
      <c r="B334" s="33" t="n"/>
      <c r="C334" s="33" t="n"/>
      <c r="D334" s="32" t="n"/>
      <c r="E334" s="33" t="n"/>
      <c r="F334" s="33" t="n"/>
      <c r="G334" s="33" t="n"/>
    </row>
    <row r="335" ht="15.75" customHeight="1" s="39">
      <c r="A335" s="34" t="n"/>
      <c r="B335" s="33" t="n"/>
      <c r="C335" s="33" t="n"/>
      <c r="D335" s="32" t="n"/>
      <c r="E335" s="33" t="n"/>
      <c r="F335" s="33" t="n"/>
      <c r="G335" s="33" t="n"/>
    </row>
    <row r="336" ht="15.75" customHeight="1" s="39">
      <c r="A336" s="34" t="n"/>
      <c r="B336" s="33" t="n"/>
      <c r="C336" s="33" t="n"/>
      <c r="D336" s="32" t="n"/>
      <c r="E336" s="33" t="n"/>
      <c r="F336" s="33" t="n"/>
      <c r="G336" s="33" t="n"/>
    </row>
    <row r="337" ht="15.75" customHeight="1" s="39">
      <c r="A337" s="34" t="n"/>
      <c r="B337" s="33" t="n"/>
      <c r="C337" s="33" t="n"/>
      <c r="D337" s="32" t="n"/>
      <c r="E337" s="33" t="n"/>
      <c r="F337" s="33" t="n"/>
      <c r="G337" s="33" t="n"/>
    </row>
    <row r="338" ht="15.75" customHeight="1" s="39">
      <c r="A338" s="34" t="n"/>
      <c r="B338" s="33" t="n"/>
      <c r="C338" s="33" t="n"/>
      <c r="D338" s="32" t="n"/>
      <c r="E338" s="33" t="n"/>
      <c r="F338" s="33" t="n"/>
      <c r="G338" s="33" t="n"/>
    </row>
    <row r="339" ht="15.75" customHeight="1" s="39">
      <c r="A339" s="34" t="n"/>
      <c r="B339" s="33" t="n"/>
      <c r="C339" s="33" t="n"/>
      <c r="D339" s="32" t="n"/>
      <c r="E339" s="33" t="n"/>
      <c r="F339" s="33" t="n"/>
      <c r="G339" s="33" t="n"/>
    </row>
    <row r="340" ht="15.75" customHeight="1" s="39">
      <c r="A340" s="34" t="n"/>
      <c r="B340" s="33" t="n"/>
      <c r="C340" s="33" t="n"/>
      <c r="D340" s="32" t="n"/>
      <c r="E340" s="33" t="n"/>
      <c r="F340" s="33" t="n"/>
      <c r="G340" s="33" t="n"/>
    </row>
    <row r="341" ht="15.75" customHeight="1" s="39">
      <c r="A341" s="34" t="n"/>
      <c r="B341" s="33" t="n"/>
      <c r="C341" s="33" t="n"/>
      <c r="D341" s="32" t="n"/>
      <c r="E341" s="33" t="n"/>
      <c r="F341" s="33" t="n"/>
      <c r="G341" s="33" t="n"/>
    </row>
    <row r="342" ht="15.75" customHeight="1" s="39">
      <c r="A342" s="34" t="n"/>
      <c r="B342" s="33" t="n"/>
      <c r="C342" s="33" t="n"/>
      <c r="D342" s="32" t="n"/>
      <c r="E342" s="33" t="n"/>
      <c r="F342" s="33" t="n"/>
      <c r="G342" s="33" t="n"/>
    </row>
    <row r="343" ht="15.75" customHeight="1" s="39">
      <c r="A343" s="34" t="n"/>
      <c r="B343" s="33" t="n"/>
      <c r="C343" s="33" t="n"/>
      <c r="D343" s="32" t="n"/>
      <c r="E343" s="33" t="n"/>
      <c r="F343" s="33" t="n"/>
      <c r="G343" s="33" t="n"/>
    </row>
    <row r="344" ht="15.75" customHeight="1" s="39">
      <c r="A344" s="34" t="n"/>
      <c r="B344" s="33" t="n"/>
      <c r="C344" s="33" t="n"/>
      <c r="D344" s="32" t="n"/>
      <c r="E344" s="33" t="n"/>
      <c r="F344" s="33" t="n"/>
      <c r="G344" s="33" t="n"/>
    </row>
    <row r="345" ht="15.75" customHeight="1" s="39">
      <c r="A345" s="34" t="n"/>
      <c r="B345" s="33" t="n"/>
      <c r="C345" s="33" t="n"/>
      <c r="D345" s="32" t="n"/>
      <c r="E345" s="33" t="n"/>
      <c r="F345" s="33" t="n"/>
      <c r="G345" s="33" t="n"/>
    </row>
    <row r="346" ht="15.75" customHeight="1" s="39">
      <c r="A346" s="34" t="n"/>
      <c r="B346" s="33" t="n"/>
      <c r="C346" s="33" t="n"/>
      <c r="D346" s="32" t="n"/>
      <c r="E346" s="33" t="n"/>
      <c r="F346" s="33" t="n"/>
      <c r="G346" s="33" t="n"/>
    </row>
    <row r="347" ht="15.75" customHeight="1" s="39">
      <c r="A347" s="34" t="n"/>
      <c r="B347" s="33" t="n"/>
      <c r="C347" s="33" t="n"/>
      <c r="D347" s="32" t="n"/>
      <c r="E347" s="33" t="n"/>
      <c r="F347" s="33" t="n"/>
      <c r="G347" s="33" t="n"/>
    </row>
    <row r="348" ht="15.75" customHeight="1" s="39">
      <c r="A348" s="34" t="n"/>
      <c r="B348" s="33" t="n"/>
      <c r="C348" s="33" t="n"/>
      <c r="D348" s="32" t="n"/>
      <c r="E348" s="33" t="n"/>
      <c r="F348" s="33" t="n"/>
      <c r="G348" s="33" t="n"/>
    </row>
    <row r="349" ht="15.75" customHeight="1" s="39">
      <c r="A349" s="34" t="n"/>
      <c r="B349" s="33" t="n"/>
      <c r="C349" s="33" t="n"/>
      <c r="D349" s="32" t="n"/>
      <c r="E349" s="33" t="n"/>
      <c r="F349" s="33" t="n"/>
      <c r="G349" s="33" t="n"/>
    </row>
    <row r="350" ht="15.75" customHeight="1" s="39">
      <c r="A350" s="34" t="n"/>
      <c r="B350" s="33" t="n"/>
      <c r="C350" s="33" t="n"/>
      <c r="D350" s="32" t="n"/>
      <c r="E350" s="33" t="n"/>
      <c r="F350" s="33" t="n"/>
      <c r="G350" s="33" t="n"/>
    </row>
    <row r="351" ht="15.75" customHeight="1" s="39">
      <c r="A351" s="34" t="n"/>
      <c r="B351" s="33" t="n"/>
      <c r="C351" s="33" t="n"/>
      <c r="D351" s="32" t="n"/>
      <c r="E351" s="33" t="n"/>
      <c r="F351" s="33" t="n"/>
      <c r="G351" s="33" t="n"/>
    </row>
    <row r="352" ht="15.75" customHeight="1" s="39">
      <c r="A352" s="34" t="n"/>
      <c r="B352" s="33" t="n"/>
      <c r="C352" s="33" t="n"/>
      <c r="D352" s="32" t="n"/>
      <c r="E352" s="33" t="n"/>
      <c r="F352" s="33" t="n"/>
      <c r="G352" s="33" t="n"/>
    </row>
    <row r="353" ht="15.75" customHeight="1" s="39">
      <c r="A353" s="34" t="n"/>
      <c r="B353" s="33" t="n"/>
      <c r="C353" s="33" t="n"/>
      <c r="D353" s="32" t="n"/>
      <c r="E353" s="33" t="n"/>
      <c r="F353" s="33" t="n"/>
      <c r="G353" s="33" t="n"/>
    </row>
    <row r="354" ht="15.75" customHeight="1" s="39">
      <c r="A354" s="34" t="n"/>
      <c r="B354" s="33" t="n"/>
      <c r="C354" s="33" t="n"/>
      <c r="D354" s="32" t="n"/>
      <c r="E354" s="33" t="n"/>
      <c r="F354" s="33" t="n"/>
      <c r="G354" s="33" t="n"/>
    </row>
    <row r="355" ht="15.75" customHeight="1" s="39">
      <c r="A355" s="34" t="n"/>
      <c r="B355" s="33" t="n"/>
      <c r="C355" s="33" t="n"/>
      <c r="D355" s="32" t="n"/>
      <c r="E355" s="33" t="n"/>
      <c r="F355" s="33" t="n"/>
      <c r="G355" s="33" t="n"/>
    </row>
    <row r="356" ht="15.75" customHeight="1" s="39">
      <c r="A356" s="34" t="n"/>
      <c r="B356" s="33" t="n"/>
      <c r="C356" s="33" t="n"/>
      <c r="D356" s="32" t="n"/>
      <c r="E356" s="33" t="n"/>
      <c r="F356" s="33" t="n"/>
      <c r="G356" s="33" t="n"/>
    </row>
    <row r="357" ht="15.75" customHeight="1" s="39">
      <c r="A357" s="34" t="n"/>
      <c r="B357" s="33" t="n"/>
      <c r="C357" s="33" t="n"/>
      <c r="D357" s="32" t="n"/>
      <c r="E357" s="33" t="n"/>
      <c r="F357" s="33" t="n"/>
      <c r="G357" s="33" t="n"/>
    </row>
    <row r="358" ht="15.75" customHeight="1" s="39">
      <c r="A358" s="34" t="n"/>
      <c r="B358" s="33" t="n"/>
      <c r="C358" s="33" t="n"/>
      <c r="D358" s="32" t="n"/>
      <c r="E358" s="33" t="n"/>
      <c r="F358" s="33" t="n"/>
      <c r="G358" s="33" t="n"/>
    </row>
    <row r="359" ht="15.75" customHeight="1" s="39">
      <c r="A359" s="34" t="n"/>
      <c r="B359" s="33" t="n"/>
      <c r="C359" s="33" t="n"/>
      <c r="D359" s="32" t="n"/>
      <c r="E359" s="33" t="n"/>
      <c r="F359" s="33" t="n"/>
      <c r="G359" s="33" t="n"/>
    </row>
    <row r="360" ht="15.75" customHeight="1" s="39">
      <c r="A360" s="34" t="n"/>
      <c r="B360" s="33" t="n"/>
      <c r="C360" s="33" t="n"/>
      <c r="D360" s="32" t="n"/>
      <c r="E360" s="33" t="n"/>
      <c r="F360" s="33" t="n"/>
      <c r="G360" s="33" t="n"/>
    </row>
    <row r="361" ht="15.75" customHeight="1" s="39">
      <c r="A361" s="34" t="n"/>
      <c r="B361" s="33" t="n"/>
      <c r="C361" s="33" t="n"/>
      <c r="D361" s="32" t="n"/>
      <c r="E361" s="33" t="n"/>
      <c r="F361" s="33" t="n"/>
      <c r="G361" s="33" t="n"/>
    </row>
    <row r="362" ht="15.75" customHeight="1" s="39">
      <c r="A362" s="34" t="n"/>
      <c r="B362" s="33" t="n"/>
      <c r="C362" s="33" t="n"/>
      <c r="D362" s="32" t="n"/>
      <c r="E362" s="33" t="n"/>
      <c r="F362" s="33" t="n"/>
      <c r="G362" s="33" t="n"/>
    </row>
    <row r="363" ht="15.75" customHeight="1" s="39">
      <c r="A363" s="34" t="n"/>
      <c r="B363" s="33" t="n"/>
      <c r="C363" s="33" t="n"/>
      <c r="D363" s="32" t="n"/>
      <c r="E363" s="33" t="n"/>
      <c r="F363" s="33" t="n"/>
      <c r="G363" s="33" t="n"/>
    </row>
    <row r="364" ht="15.75" customHeight="1" s="39">
      <c r="A364" s="34" t="n"/>
      <c r="B364" s="33" t="n"/>
      <c r="C364" s="33" t="n"/>
      <c r="D364" s="32" t="n"/>
      <c r="E364" s="33" t="n"/>
      <c r="F364" s="33" t="n"/>
      <c r="G364" s="33" t="n"/>
    </row>
    <row r="365" ht="15.75" customHeight="1" s="39">
      <c r="A365" s="34" t="n"/>
      <c r="B365" s="33" t="n"/>
      <c r="C365" s="33" t="n"/>
      <c r="D365" s="32" t="n"/>
      <c r="E365" s="33" t="n"/>
      <c r="F365" s="33" t="n"/>
      <c r="G365" s="33" t="n"/>
    </row>
    <row r="366" ht="15.75" customHeight="1" s="39">
      <c r="A366" s="34" t="n"/>
      <c r="B366" s="33" t="n"/>
      <c r="C366" s="33" t="n"/>
      <c r="D366" s="32" t="n"/>
      <c r="E366" s="33" t="n"/>
      <c r="F366" s="33" t="n"/>
      <c r="G366" s="33" t="n"/>
    </row>
    <row r="367" ht="15.75" customHeight="1" s="39">
      <c r="A367" s="34" t="n"/>
      <c r="B367" s="33" t="n"/>
      <c r="C367" s="33" t="n"/>
      <c r="D367" s="32" t="n"/>
      <c r="E367" s="33" t="n"/>
      <c r="F367" s="33" t="n"/>
      <c r="G367" s="33" t="n"/>
    </row>
    <row r="368" ht="15.75" customHeight="1" s="39">
      <c r="A368" s="34" t="n"/>
      <c r="B368" s="33" t="n"/>
      <c r="C368" s="33" t="n"/>
      <c r="D368" s="32" t="n"/>
      <c r="E368" s="33" t="n"/>
      <c r="F368" s="33" t="n"/>
      <c r="G368" s="33" t="n"/>
    </row>
    <row r="369" ht="15.75" customHeight="1" s="39">
      <c r="A369" s="34" t="n"/>
      <c r="B369" s="33" t="n"/>
      <c r="C369" s="33" t="n"/>
      <c r="D369" s="32" t="n"/>
      <c r="E369" s="33" t="n"/>
      <c r="F369" s="33" t="n"/>
      <c r="G369" s="33" t="n"/>
    </row>
    <row r="370" ht="15.75" customHeight="1" s="39">
      <c r="A370" s="34" t="n"/>
      <c r="B370" s="33" t="n"/>
      <c r="C370" s="33" t="n"/>
      <c r="D370" s="32" t="n"/>
      <c r="E370" s="33" t="n"/>
      <c r="F370" s="33" t="n"/>
      <c r="G370" s="33" t="n"/>
    </row>
    <row r="371" ht="15.75" customHeight="1" s="39">
      <c r="A371" s="34" t="n"/>
      <c r="B371" s="33" t="n"/>
      <c r="C371" s="33" t="n"/>
      <c r="D371" s="32" t="n"/>
      <c r="E371" s="33" t="n"/>
      <c r="F371" s="33" t="n"/>
      <c r="G371" s="33" t="n"/>
    </row>
    <row r="372" ht="15.75" customHeight="1" s="39">
      <c r="A372" s="34" t="n"/>
      <c r="B372" s="33" t="n"/>
      <c r="C372" s="33" t="n"/>
      <c r="D372" s="32" t="n"/>
      <c r="E372" s="33" t="n"/>
      <c r="F372" s="33" t="n"/>
      <c r="G372" s="33" t="n"/>
    </row>
    <row r="373" ht="15.75" customHeight="1" s="39">
      <c r="A373" s="34" t="n"/>
      <c r="B373" s="33" t="n"/>
      <c r="C373" s="33" t="n"/>
      <c r="D373" s="32" t="n"/>
      <c r="E373" s="33" t="n"/>
      <c r="F373" s="33" t="n"/>
      <c r="G373" s="33" t="n"/>
    </row>
    <row r="374" ht="15.75" customHeight="1" s="39">
      <c r="A374" s="34" t="n"/>
      <c r="B374" s="33" t="n"/>
      <c r="C374" s="33" t="n"/>
      <c r="D374" s="32" t="n"/>
      <c r="E374" s="33" t="n"/>
      <c r="F374" s="33" t="n"/>
      <c r="G374" s="33" t="n"/>
    </row>
    <row r="375" ht="15.75" customHeight="1" s="39">
      <c r="A375" s="34" t="n"/>
      <c r="B375" s="33" t="n"/>
      <c r="C375" s="33" t="n"/>
      <c r="D375" s="32" t="n"/>
      <c r="E375" s="33" t="n"/>
      <c r="F375" s="33" t="n"/>
      <c r="G375" s="33" t="n"/>
    </row>
    <row r="376" ht="15.75" customHeight="1" s="39">
      <c r="A376" s="34" t="n"/>
      <c r="B376" s="33" t="n"/>
      <c r="C376" s="33" t="n"/>
      <c r="D376" s="32" t="n"/>
      <c r="E376" s="33" t="n"/>
      <c r="F376" s="33" t="n"/>
      <c r="G376" s="33" t="n"/>
    </row>
    <row r="377" ht="15.75" customHeight="1" s="39">
      <c r="A377" s="34" t="n"/>
      <c r="B377" s="33" t="n"/>
      <c r="C377" s="33" t="n"/>
      <c r="D377" s="32" t="n"/>
      <c r="E377" s="33" t="n"/>
      <c r="F377" s="33" t="n"/>
      <c r="G377" s="33" t="n"/>
    </row>
    <row r="378" ht="15.75" customHeight="1" s="39">
      <c r="A378" s="34" t="n"/>
      <c r="B378" s="33" t="n"/>
      <c r="C378" s="33" t="n"/>
      <c r="D378" s="32" t="n"/>
      <c r="E378" s="33" t="n"/>
      <c r="F378" s="33" t="n"/>
      <c r="G378" s="33" t="n"/>
    </row>
    <row r="379" ht="15.75" customHeight="1" s="39">
      <c r="A379" s="34" t="n"/>
      <c r="B379" s="33" t="n"/>
      <c r="C379" s="33" t="n"/>
      <c r="D379" s="32" t="n"/>
      <c r="E379" s="33" t="n"/>
      <c r="F379" s="33" t="n"/>
      <c r="G379" s="33" t="n"/>
    </row>
    <row r="380" ht="15.75" customHeight="1" s="39">
      <c r="A380" s="34" t="n"/>
      <c r="B380" s="33" t="n"/>
      <c r="C380" s="33" t="n"/>
      <c r="D380" s="32" t="n"/>
      <c r="E380" s="33" t="n"/>
      <c r="F380" s="33" t="n"/>
      <c r="G380" s="33" t="n"/>
    </row>
    <row r="381" ht="15.75" customHeight="1" s="39">
      <c r="A381" s="34" t="n"/>
      <c r="B381" s="33" t="n"/>
      <c r="C381" s="33" t="n"/>
      <c r="D381" s="32" t="n"/>
      <c r="E381" s="33" t="n"/>
      <c r="F381" s="33" t="n"/>
      <c r="G381" s="33" t="n"/>
    </row>
    <row r="382" ht="15.75" customHeight="1" s="39">
      <c r="A382" s="34" t="n"/>
      <c r="B382" s="33" t="n"/>
      <c r="C382" s="33" t="n"/>
      <c r="D382" s="32" t="n"/>
      <c r="E382" s="33" t="n"/>
      <c r="F382" s="33" t="n"/>
      <c r="G382" s="33" t="n"/>
    </row>
    <row r="383" ht="15.75" customHeight="1" s="39">
      <c r="A383" s="34" t="n"/>
      <c r="B383" s="33" t="n"/>
      <c r="C383" s="33" t="n"/>
      <c r="D383" s="32" t="n"/>
      <c r="E383" s="33" t="n"/>
      <c r="F383" s="33" t="n"/>
      <c r="G383" s="33" t="n"/>
    </row>
    <row r="384" ht="15.75" customHeight="1" s="39">
      <c r="A384" s="34" t="n"/>
      <c r="B384" s="33" t="n"/>
      <c r="C384" s="33" t="n"/>
      <c r="D384" s="32" t="n"/>
      <c r="E384" s="33" t="n"/>
      <c r="F384" s="33" t="n"/>
      <c r="G384" s="33" t="n"/>
    </row>
    <row r="385" ht="15.75" customHeight="1" s="39">
      <c r="A385" s="34" t="n"/>
      <c r="B385" s="33" t="n"/>
      <c r="C385" s="33" t="n"/>
      <c r="D385" s="32" t="n"/>
      <c r="E385" s="33" t="n"/>
      <c r="F385" s="33" t="n"/>
      <c r="G385" s="33" t="n"/>
    </row>
    <row r="386" ht="15.75" customHeight="1" s="39">
      <c r="A386" s="34" t="n"/>
      <c r="B386" s="33" t="n"/>
      <c r="C386" s="33" t="n"/>
      <c r="D386" s="32" t="n"/>
      <c r="E386" s="33" t="n"/>
      <c r="F386" s="33" t="n"/>
      <c r="G386" s="33" t="n"/>
    </row>
    <row r="387" ht="15.75" customHeight="1" s="39">
      <c r="A387" s="34" t="n"/>
      <c r="B387" s="33" t="n"/>
      <c r="C387" s="33" t="n"/>
      <c r="D387" s="32" t="n"/>
      <c r="E387" s="33" t="n"/>
      <c r="F387" s="33" t="n"/>
      <c r="G387" s="33" t="n"/>
    </row>
    <row r="388" ht="15.75" customHeight="1" s="39">
      <c r="A388" s="34" t="n"/>
      <c r="B388" s="33" t="n"/>
      <c r="C388" s="33" t="n"/>
      <c r="D388" s="32" t="n"/>
      <c r="E388" s="33" t="n"/>
      <c r="F388" s="33" t="n"/>
      <c r="G388" s="33" t="n"/>
    </row>
    <row r="389" ht="15.75" customHeight="1" s="39">
      <c r="A389" s="34" t="n"/>
      <c r="B389" s="33" t="n"/>
      <c r="C389" s="33" t="n"/>
      <c r="D389" s="32" t="n"/>
      <c r="E389" s="33" t="n"/>
      <c r="F389" s="33" t="n"/>
      <c r="G389" s="33" t="n"/>
    </row>
    <row r="390" ht="15.75" customHeight="1" s="39">
      <c r="A390" s="34" t="n"/>
      <c r="B390" s="33" t="n"/>
      <c r="C390" s="33" t="n"/>
      <c r="D390" s="32" t="n"/>
      <c r="E390" s="33" t="n"/>
      <c r="F390" s="33" t="n"/>
      <c r="G390" s="33" t="n"/>
    </row>
    <row r="391" ht="15.75" customHeight="1" s="39">
      <c r="A391" s="34" t="n"/>
      <c r="B391" s="33" t="n"/>
      <c r="C391" s="33" t="n"/>
      <c r="D391" s="32" t="n"/>
      <c r="E391" s="33" t="n"/>
      <c r="F391" s="33" t="n"/>
      <c r="G391" s="33" t="n"/>
    </row>
    <row r="392" ht="15.75" customHeight="1" s="39">
      <c r="A392" s="34" t="n"/>
      <c r="B392" s="33" t="n"/>
      <c r="C392" s="33" t="n"/>
      <c r="D392" s="32" t="n"/>
      <c r="E392" s="33" t="n"/>
      <c r="F392" s="33" t="n"/>
      <c r="G392" s="33" t="n"/>
    </row>
    <row r="393" ht="15.75" customHeight="1" s="39">
      <c r="A393" s="34" t="n"/>
      <c r="B393" s="33" t="n"/>
      <c r="C393" s="33" t="n"/>
      <c r="D393" s="32" t="n"/>
      <c r="E393" s="33" t="n"/>
      <c r="F393" s="33" t="n"/>
      <c r="G393" s="33" t="n"/>
    </row>
    <row r="394" ht="15.75" customHeight="1" s="39">
      <c r="A394" s="34" t="n"/>
      <c r="B394" s="33" t="n"/>
      <c r="C394" s="33" t="n"/>
      <c r="D394" s="32" t="n"/>
      <c r="E394" s="33" t="n"/>
      <c r="F394" s="33" t="n"/>
      <c r="G394" s="33" t="n"/>
    </row>
    <row r="395" ht="15.75" customHeight="1" s="39">
      <c r="A395" s="34" t="n"/>
      <c r="B395" s="33" t="n"/>
      <c r="C395" s="33" t="n"/>
      <c r="D395" s="32" t="n"/>
      <c r="E395" s="33" t="n"/>
      <c r="F395" s="33" t="n"/>
      <c r="G395" s="33" t="n"/>
    </row>
    <row r="396" ht="15.75" customHeight="1" s="39">
      <c r="A396" s="34" t="n"/>
      <c r="B396" s="33" t="n"/>
      <c r="C396" s="33" t="n"/>
      <c r="D396" s="32" t="n"/>
      <c r="E396" s="33" t="n"/>
      <c r="F396" s="33" t="n"/>
      <c r="G396" s="33" t="n"/>
    </row>
    <row r="397" ht="15.75" customHeight="1" s="39">
      <c r="A397" s="34" t="n"/>
      <c r="B397" s="33" t="n"/>
      <c r="C397" s="33" t="n"/>
      <c r="D397" s="32" t="n"/>
      <c r="E397" s="33" t="n"/>
      <c r="F397" s="33" t="n"/>
      <c r="G397" s="33" t="n"/>
    </row>
    <row r="398" ht="15.75" customHeight="1" s="39">
      <c r="A398" s="34" t="n"/>
      <c r="B398" s="33" t="n"/>
      <c r="C398" s="33" t="n"/>
      <c r="D398" s="32" t="n"/>
      <c r="E398" s="33" t="n"/>
      <c r="F398" s="33" t="n"/>
      <c r="G398" s="33" t="n"/>
    </row>
    <row r="399" ht="15.75" customHeight="1" s="39">
      <c r="A399" s="34" t="n"/>
      <c r="B399" s="33" t="n"/>
      <c r="C399" s="33" t="n"/>
      <c r="D399" s="32" t="n"/>
      <c r="E399" s="33" t="n"/>
      <c r="F399" s="33" t="n"/>
      <c r="G399" s="33" t="n"/>
    </row>
    <row r="400" ht="15.75" customHeight="1" s="39">
      <c r="A400" s="34" t="n"/>
      <c r="B400" s="33" t="n"/>
      <c r="C400" s="33" t="n"/>
      <c r="D400" s="32" t="n"/>
      <c r="E400" s="33" t="n"/>
      <c r="F400" s="33" t="n"/>
      <c r="G400" s="33" t="n"/>
    </row>
    <row r="401" ht="15.75" customHeight="1" s="39">
      <c r="A401" s="34" t="n"/>
      <c r="B401" s="33" t="n"/>
      <c r="C401" s="33" t="n"/>
      <c r="D401" s="32" t="n"/>
      <c r="E401" s="33" t="n"/>
      <c r="F401" s="33" t="n"/>
      <c r="G401" s="33" t="n"/>
    </row>
    <row r="402" ht="15.75" customHeight="1" s="39">
      <c r="A402" s="34" t="n"/>
      <c r="B402" s="33" t="n"/>
      <c r="C402" s="33" t="n"/>
      <c r="D402" s="32" t="n"/>
      <c r="E402" s="33" t="n"/>
      <c r="F402" s="33" t="n"/>
      <c r="G402" s="33" t="n"/>
    </row>
    <row r="403" ht="15.75" customHeight="1" s="39">
      <c r="A403" s="34" t="n"/>
      <c r="B403" s="33" t="n"/>
      <c r="C403" s="33" t="n"/>
      <c r="D403" s="32" t="n"/>
      <c r="E403" s="33" t="n"/>
      <c r="F403" s="33" t="n"/>
      <c r="G403" s="33" t="n"/>
    </row>
    <row r="404" ht="15.75" customHeight="1" s="39">
      <c r="A404" s="34" t="n"/>
      <c r="B404" s="33" t="n"/>
      <c r="C404" s="33" t="n"/>
      <c r="D404" s="32" t="n"/>
      <c r="E404" s="33" t="n"/>
      <c r="F404" s="33" t="n"/>
      <c r="G404" s="33" t="n"/>
    </row>
    <row r="405" ht="15.75" customHeight="1" s="39">
      <c r="A405" s="34" t="n"/>
      <c r="B405" s="33" t="n"/>
      <c r="C405" s="33" t="n"/>
      <c r="D405" s="32" t="n"/>
      <c r="E405" s="33" t="n"/>
      <c r="F405" s="33" t="n"/>
      <c r="G405" s="33" t="n"/>
    </row>
    <row r="406" ht="15.75" customHeight="1" s="39">
      <c r="A406" s="34" t="n"/>
      <c r="B406" s="33" t="n"/>
      <c r="C406" s="33" t="n"/>
      <c r="D406" s="32" t="n"/>
      <c r="E406" s="33" t="n"/>
      <c r="F406" s="33" t="n"/>
      <c r="G406" s="33" t="n"/>
    </row>
    <row r="407" ht="15.75" customHeight="1" s="39">
      <c r="A407" s="34" t="n"/>
      <c r="B407" s="33" t="n"/>
      <c r="C407" s="33" t="n"/>
      <c r="D407" s="32" t="n"/>
      <c r="E407" s="33" t="n"/>
      <c r="F407" s="33" t="n"/>
      <c r="G407" s="33" t="n"/>
    </row>
    <row r="408" ht="15.75" customHeight="1" s="39">
      <c r="A408" s="34" t="n"/>
      <c r="B408" s="33" t="n"/>
      <c r="C408" s="33" t="n"/>
      <c r="D408" s="32" t="n"/>
      <c r="E408" s="33" t="n"/>
      <c r="F408" s="33" t="n"/>
      <c r="G408" s="33" t="n"/>
    </row>
    <row r="409" ht="15.75" customHeight="1" s="39">
      <c r="A409" s="34" t="n"/>
      <c r="B409" s="33" t="n"/>
      <c r="C409" s="33" t="n"/>
      <c r="D409" s="32" t="n"/>
      <c r="E409" s="33" t="n"/>
      <c r="F409" s="33" t="n"/>
      <c r="G409" s="33" t="n"/>
    </row>
    <row r="410" ht="15.75" customHeight="1" s="39">
      <c r="A410" s="34" t="n"/>
      <c r="B410" s="33" t="n"/>
      <c r="C410" s="33" t="n"/>
      <c r="D410" s="32" t="n"/>
      <c r="E410" s="33" t="n"/>
      <c r="F410" s="33" t="n"/>
      <c r="G410" s="33" t="n"/>
    </row>
    <row r="411" ht="15.75" customHeight="1" s="39">
      <c r="A411" s="34" t="n"/>
      <c r="B411" s="33" t="n"/>
      <c r="C411" s="33" t="n"/>
      <c r="D411" s="32" t="n"/>
      <c r="E411" s="33" t="n"/>
      <c r="F411" s="33" t="n"/>
      <c r="G411" s="33" t="n"/>
    </row>
    <row r="412" ht="15.75" customHeight="1" s="39">
      <c r="A412" s="34" t="n"/>
      <c r="B412" s="33" t="n"/>
      <c r="C412" s="33" t="n"/>
      <c r="D412" s="32" t="n"/>
      <c r="E412" s="33" t="n"/>
      <c r="F412" s="33" t="n"/>
      <c r="G412" s="33" t="n"/>
    </row>
    <row r="413" ht="15.75" customHeight="1" s="39">
      <c r="A413" s="34" t="n"/>
      <c r="B413" s="33" t="n"/>
      <c r="C413" s="33" t="n"/>
      <c r="D413" s="32" t="n"/>
      <c r="E413" s="33" t="n"/>
      <c r="F413" s="33" t="n"/>
      <c r="G413" s="33" t="n"/>
    </row>
    <row r="414" ht="15.75" customHeight="1" s="39">
      <c r="A414" s="34" t="n"/>
      <c r="B414" s="33" t="n"/>
      <c r="C414" s="33" t="n"/>
      <c r="D414" s="32" t="n"/>
      <c r="E414" s="33" t="n"/>
      <c r="F414" s="33" t="n"/>
      <c r="G414" s="33" t="n"/>
    </row>
    <row r="415" ht="15.75" customHeight="1" s="39">
      <c r="A415" s="34" t="n"/>
      <c r="B415" s="33" t="n"/>
      <c r="C415" s="33" t="n"/>
      <c r="D415" s="32" t="n"/>
      <c r="E415" s="33" t="n"/>
      <c r="F415" s="33" t="n"/>
      <c r="G415" s="33" t="n"/>
    </row>
    <row r="416" ht="15.75" customHeight="1" s="39">
      <c r="A416" s="34" t="n"/>
      <c r="B416" s="33" t="n"/>
      <c r="C416" s="33" t="n"/>
      <c r="D416" s="32" t="n"/>
      <c r="E416" s="33" t="n"/>
      <c r="F416" s="33" t="n"/>
      <c r="G416" s="33" t="n"/>
    </row>
    <row r="417" ht="15.75" customHeight="1" s="39">
      <c r="A417" s="34" t="n"/>
      <c r="B417" s="33" t="n"/>
      <c r="C417" s="33" t="n"/>
      <c r="D417" s="32" t="n"/>
      <c r="E417" s="33" t="n"/>
      <c r="F417" s="33" t="n"/>
      <c r="G417" s="33" t="n"/>
    </row>
    <row r="418" ht="15.75" customHeight="1" s="39">
      <c r="A418" s="34" t="n"/>
      <c r="B418" s="33" t="n"/>
      <c r="C418" s="33" t="n"/>
      <c r="D418" s="32" t="n"/>
      <c r="E418" s="33" t="n"/>
      <c r="F418" s="33" t="n"/>
      <c r="G418" s="33" t="n"/>
    </row>
    <row r="419" ht="15.75" customHeight="1" s="39">
      <c r="A419" s="34" t="n"/>
      <c r="B419" s="33" t="n"/>
      <c r="C419" s="33" t="n"/>
      <c r="D419" s="32" t="n"/>
      <c r="E419" s="33" t="n"/>
      <c r="F419" s="33" t="n"/>
      <c r="G419" s="33" t="n"/>
    </row>
    <row r="420" ht="15.75" customHeight="1" s="39">
      <c r="A420" s="34" t="n"/>
      <c r="B420" s="33" t="n"/>
      <c r="C420" s="33" t="n"/>
      <c r="D420" s="32" t="n"/>
      <c r="E420" s="33" t="n"/>
      <c r="F420" s="33" t="n"/>
      <c r="G420" s="33" t="n"/>
    </row>
    <row r="421" ht="15.75" customHeight="1" s="39">
      <c r="A421" s="34" t="n"/>
      <c r="B421" s="33" t="n"/>
      <c r="C421" s="33" t="n"/>
      <c r="D421" s="32" t="n"/>
      <c r="E421" s="33" t="n"/>
      <c r="F421" s="33" t="n"/>
      <c r="G421" s="33" t="n"/>
    </row>
    <row r="422" ht="15.75" customHeight="1" s="39">
      <c r="A422" s="34" t="n"/>
      <c r="B422" s="33" t="n"/>
      <c r="C422" s="33" t="n"/>
      <c r="D422" s="32" t="n"/>
      <c r="E422" s="33" t="n"/>
      <c r="F422" s="33" t="n"/>
      <c r="G422" s="33" t="n"/>
    </row>
    <row r="423" ht="15.75" customHeight="1" s="39">
      <c r="A423" s="34" t="n"/>
      <c r="B423" s="33" t="n"/>
      <c r="C423" s="33" t="n"/>
      <c r="D423" s="32" t="n"/>
      <c r="E423" s="33" t="n"/>
      <c r="F423" s="33" t="n"/>
      <c r="G423" s="33" t="n"/>
    </row>
    <row r="424" ht="15.75" customHeight="1" s="39">
      <c r="A424" s="34" t="n"/>
      <c r="B424" s="33" t="n"/>
      <c r="C424" s="33" t="n"/>
      <c r="D424" s="32" t="n"/>
      <c r="E424" s="33" t="n"/>
      <c r="F424" s="33" t="n"/>
      <c r="G424" s="33" t="n"/>
    </row>
    <row r="425" ht="15.75" customHeight="1" s="39">
      <c r="A425" s="34" t="n"/>
      <c r="B425" s="33" t="n"/>
      <c r="C425" s="33" t="n"/>
      <c r="D425" s="32" t="n"/>
      <c r="E425" s="33" t="n"/>
      <c r="F425" s="33" t="n"/>
      <c r="G425" s="33" t="n"/>
    </row>
    <row r="426" ht="15.75" customHeight="1" s="39">
      <c r="A426" s="34" t="n"/>
      <c r="B426" s="33" t="n"/>
      <c r="C426" s="33" t="n"/>
      <c r="D426" s="32" t="n"/>
      <c r="E426" s="33" t="n"/>
      <c r="F426" s="33" t="n"/>
      <c r="G426" s="33" t="n"/>
    </row>
    <row r="427" ht="15.75" customHeight="1" s="39">
      <c r="A427" s="34" t="n"/>
      <c r="B427" s="33" t="n"/>
      <c r="C427" s="33" t="n"/>
      <c r="D427" s="32" t="n"/>
      <c r="E427" s="33" t="n"/>
      <c r="F427" s="33" t="n"/>
      <c r="G427" s="33" t="n"/>
    </row>
    <row r="428" ht="15.75" customHeight="1" s="39">
      <c r="A428" s="34" t="n"/>
      <c r="B428" s="33" t="n"/>
      <c r="C428" s="33" t="n"/>
      <c r="D428" s="32" t="n"/>
      <c r="E428" s="33" t="n"/>
      <c r="F428" s="33" t="n"/>
      <c r="G428" s="33" t="n"/>
    </row>
    <row r="429" ht="15.75" customHeight="1" s="39">
      <c r="A429" s="34" t="n"/>
      <c r="B429" s="33" t="n"/>
      <c r="C429" s="33" t="n"/>
      <c r="D429" s="32" t="n"/>
      <c r="E429" s="33" t="n"/>
      <c r="F429" s="33" t="n"/>
      <c r="G429" s="33" t="n"/>
    </row>
    <row r="430" ht="15.75" customHeight="1" s="39">
      <c r="A430" s="34" t="n"/>
      <c r="B430" s="33" t="n"/>
      <c r="C430" s="33" t="n"/>
      <c r="D430" s="32" t="n"/>
      <c r="E430" s="33" t="n"/>
      <c r="F430" s="33" t="n"/>
      <c r="G430" s="33" t="n"/>
    </row>
    <row r="431" ht="15.75" customHeight="1" s="39">
      <c r="A431" s="34" t="n"/>
      <c r="B431" s="33" t="n"/>
      <c r="C431" s="33" t="n"/>
      <c r="D431" s="32" t="n"/>
      <c r="E431" s="33" t="n"/>
      <c r="F431" s="33" t="n"/>
      <c r="G431" s="33" t="n"/>
    </row>
    <row r="432" ht="15.75" customHeight="1" s="39">
      <c r="A432" s="34" t="n"/>
      <c r="B432" s="33" t="n"/>
      <c r="C432" s="33" t="n"/>
      <c r="D432" s="32" t="n"/>
      <c r="E432" s="33" t="n"/>
      <c r="F432" s="33" t="n"/>
      <c r="G432" s="33" t="n"/>
    </row>
    <row r="433" ht="15.75" customHeight="1" s="39">
      <c r="A433" s="34" t="n"/>
      <c r="B433" s="33" t="n"/>
      <c r="C433" s="33" t="n"/>
      <c r="D433" s="32" t="n"/>
      <c r="E433" s="33" t="n"/>
      <c r="F433" s="33" t="n"/>
      <c r="G433" s="33" t="n"/>
    </row>
    <row r="434" ht="15.75" customHeight="1" s="39">
      <c r="A434" s="34" t="n"/>
      <c r="B434" s="33" t="n"/>
      <c r="C434" s="33" t="n"/>
      <c r="D434" s="32" t="n"/>
      <c r="E434" s="33" t="n"/>
      <c r="F434" s="33" t="n"/>
      <c r="G434" s="33" t="n"/>
    </row>
    <row r="435" ht="15.75" customHeight="1" s="39">
      <c r="A435" s="34" t="n"/>
      <c r="B435" s="33" t="n"/>
      <c r="C435" s="33" t="n"/>
      <c r="D435" s="32" t="n"/>
      <c r="E435" s="33" t="n"/>
      <c r="F435" s="33" t="n"/>
      <c r="G435" s="33" t="n"/>
    </row>
    <row r="436" ht="15.75" customHeight="1" s="39">
      <c r="A436" s="34" t="n"/>
      <c r="B436" s="33" t="n"/>
      <c r="C436" s="33" t="n"/>
      <c r="D436" s="32" t="n"/>
      <c r="E436" s="33" t="n"/>
      <c r="F436" s="33" t="n"/>
      <c r="G436" s="33" t="n"/>
    </row>
    <row r="437" ht="15.75" customHeight="1" s="39">
      <c r="A437" s="34" t="n"/>
      <c r="B437" s="33" t="n"/>
      <c r="C437" s="33" t="n"/>
      <c r="D437" s="32" t="n"/>
      <c r="E437" s="33" t="n"/>
      <c r="F437" s="33" t="n"/>
      <c r="G437" s="33" t="n"/>
    </row>
    <row r="438" ht="15.75" customHeight="1" s="39">
      <c r="A438" s="34" t="n"/>
      <c r="B438" s="33" t="n"/>
      <c r="C438" s="33" t="n"/>
      <c r="D438" s="32" t="n"/>
      <c r="E438" s="33" t="n"/>
      <c r="F438" s="33" t="n"/>
      <c r="G438" s="33" t="n"/>
    </row>
    <row r="439" ht="15.75" customHeight="1" s="39">
      <c r="A439" s="34" t="n"/>
      <c r="B439" s="33" t="n"/>
      <c r="C439" s="33" t="n"/>
      <c r="D439" s="32" t="n"/>
      <c r="E439" s="33" t="n"/>
      <c r="F439" s="33" t="n"/>
      <c r="G439" s="33" t="n"/>
    </row>
    <row r="440" ht="15.75" customHeight="1" s="39">
      <c r="A440" s="34" t="n"/>
      <c r="B440" s="33" t="n"/>
      <c r="C440" s="33" t="n"/>
      <c r="D440" s="32" t="n"/>
      <c r="E440" s="33" t="n"/>
      <c r="F440" s="33" t="n"/>
      <c r="G440" s="33" t="n"/>
    </row>
    <row r="441" ht="15.75" customHeight="1" s="39">
      <c r="A441" s="34" t="n"/>
      <c r="B441" s="33" t="n"/>
      <c r="C441" s="33" t="n"/>
      <c r="D441" s="32" t="n"/>
      <c r="E441" s="33" t="n"/>
      <c r="F441" s="33" t="n"/>
      <c r="G441" s="33" t="n"/>
    </row>
    <row r="442" ht="15.75" customHeight="1" s="39">
      <c r="A442" s="34" t="n"/>
      <c r="B442" s="33" t="n"/>
      <c r="C442" s="33" t="n"/>
      <c r="D442" s="32" t="n"/>
      <c r="E442" s="33" t="n"/>
      <c r="F442" s="33" t="n"/>
      <c r="G442" s="33" t="n"/>
    </row>
    <row r="443" ht="15.75" customHeight="1" s="39">
      <c r="A443" s="34" t="n"/>
      <c r="B443" s="33" t="n"/>
      <c r="C443" s="33" t="n"/>
      <c r="D443" s="32" t="n"/>
      <c r="E443" s="33" t="n"/>
      <c r="F443" s="33" t="n"/>
      <c r="G443" s="33" t="n"/>
    </row>
    <row r="444" ht="15.75" customHeight="1" s="39">
      <c r="A444" s="34" t="n"/>
      <c r="B444" s="33" t="n"/>
      <c r="C444" s="33" t="n"/>
      <c r="D444" s="32" t="n"/>
      <c r="E444" s="33" t="n"/>
      <c r="F444" s="33" t="n"/>
      <c r="G444" s="33" t="n"/>
    </row>
    <row r="445" ht="15.75" customHeight="1" s="39">
      <c r="A445" s="34" t="n"/>
      <c r="B445" s="33" t="n"/>
      <c r="C445" s="33" t="n"/>
      <c r="D445" s="32" t="n"/>
      <c r="E445" s="33" t="n"/>
      <c r="F445" s="33" t="n"/>
      <c r="G445" s="33" t="n"/>
    </row>
    <row r="446" ht="15.75" customHeight="1" s="39">
      <c r="A446" s="34" t="n"/>
      <c r="B446" s="33" t="n"/>
      <c r="C446" s="33" t="n"/>
      <c r="D446" s="32" t="n"/>
      <c r="E446" s="33" t="n"/>
      <c r="F446" s="33" t="n"/>
      <c r="G446" s="33" t="n"/>
    </row>
    <row r="447" ht="15.75" customHeight="1" s="39">
      <c r="A447" s="34" t="n"/>
      <c r="B447" s="33" t="n"/>
      <c r="C447" s="33" t="n"/>
      <c r="D447" s="32" t="n"/>
      <c r="E447" s="33" t="n"/>
      <c r="F447" s="33" t="n"/>
      <c r="G447" s="33" t="n"/>
    </row>
    <row r="448" ht="15.75" customHeight="1" s="39">
      <c r="A448" s="34" t="n"/>
      <c r="B448" s="33" t="n"/>
      <c r="C448" s="33" t="n"/>
      <c r="D448" s="32" t="n"/>
      <c r="E448" s="33" t="n"/>
      <c r="F448" s="33" t="n"/>
      <c r="G448" s="33" t="n"/>
    </row>
    <row r="449" ht="15.75" customHeight="1" s="39">
      <c r="A449" s="34" t="n"/>
      <c r="B449" s="33" t="n"/>
      <c r="C449" s="33" t="n"/>
      <c r="D449" s="32" t="n"/>
      <c r="E449" s="33" t="n"/>
      <c r="F449" s="33" t="n"/>
      <c r="G449" s="33" t="n"/>
    </row>
    <row r="450" ht="15.75" customHeight="1" s="39">
      <c r="A450" s="34" t="n"/>
      <c r="B450" s="33" t="n"/>
      <c r="C450" s="33" t="n"/>
      <c r="D450" s="32" t="n"/>
      <c r="E450" s="33" t="n"/>
      <c r="F450" s="33" t="n"/>
      <c r="G450" s="33" t="n"/>
    </row>
    <row r="451" ht="15.75" customHeight="1" s="39">
      <c r="A451" s="34" t="n"/>
      <c r="B451" s="33" t="n"/>
      <c r="C451" s="33" t="n"/>
      <c r="D451" s="32" t="n"/>
      <c r="E451" s="33" t="n"/>
      <c r="F451" s="33" t="n"/>
      <c r="G451" s="33" t="n"/>
    </row>
    <row r="452" ht="15.75" customHeight="1" s="39">
      <c r="A452" s="34" t="n"/>
      <c r="B452" s="33" t="n"/>
      <c r="C452" s="33" t="n"/>
      <c r="D452" s="32" t="n"/>
      <c r="E452" s="33" t="n"/>
      <c r="F452" s="33" t="n"/>
      <c r="G452" s="33" t="n"/>
    </row>
    <row r="453" ht="15.75" customHeight="1" s="39">
      <c r="A453" s="34" t="n"/>
      <c r="B453" s="33" t="n"/>
      <c r="C453" s="33" t="n"/>
      <c r="D453" s="32" t="n"/>
      <c r="E453" s="33" t="n"/>
      <c r="F453" s="33" t="n"/>
      <c r="G453" s="33" t="n"/>
    </row>
    <row r="454" ht="15.75" customHeight="1" s="39">
      <c r="A454" s="34" t="n"/>
      <c r="B454" s="33" t="n"/>
      <c r="C454" s="33" t="n"/>
      <c r="D454" s="32" t="n"/>
      <c r="E454" s="33" t="n"/>
      <c r="F454" s="33" t="n"/>
      <c r="G454" s="33" t="n"/>
    </row>
    <row r="455" ht="15.75" customHeight="1" s="39">
      <c r="A455" s="34" t="n"/>
      <c r="B455" s="33" t="n"/>
      <c r="C455" s="33" t="n"/>
      <c r="D455" s="32" t="n"/>
      <c r="E455" s="33" t="n"/>
      <c r="F455" s="33" t="n"/>
      <c r="G455" s="33" t="n"/>
    </row>
    <row r="456" ht="15.75" customHeight="1" s="39">
      <c r="A456" s="34" t="n"/>
      <c r="B456" s="33" t="n"/>
      <c r="C456" s="33" t="n"/>
      <c r="D456" s="32" t="n"/>
      <c r="E456" s="33" t="n"/>
      <c r="F456" s="33" t="n"/>
      <c r="G456" s="33" t="n"/>
    </row>
    <row r="457" ht="15.75" customHeight="1" s="39">
      <c r="A457" s="34" t="n"/>
      <c r="B457" s="33" t="n"/>
      <c r="C457" s="33" t="n"/>
      <c r="D457" s="32" t="n"/>
      <c r="E457" s="33" t="n"/>
      <c r="F457" s="33" t="n"/>
      <c r="G457" s="33" t="n"/>
    </row>
    <row r="458" ht="15.75" customHeight="1" s="39">
      <c r="A458" s="34" t="n"/>
      <c r="B458" s="33" t="n"/>
      <c r="C458" s="33" t="n"/>
      <c r="D458" s="32" t="n"/>
      <c r="E458" s="33" t="n"/>
      <c r="F458" s="33" t="n"/>
      <c r="G458" s="33" t="n"/>
    </row>
    <row r="459" ht="15.75" customHeight="1" s="39">
      <c r="A459" s="34" t="n"/>
      <c r="B459" s="33" t="n"/>
      <c r="C459" s="33" t="n"/>
      <c r="D459" s="32" t="n"/>
      <c r="E459" s="33" t="n"/>
      <c r="F459" s="33" t="n"/>
      <c r="G459" s="33" t="n"/>
    </row>
    <row r="460" ht="15.75" customHeight="1" s="39">
      <c r="A460" s="34" t="n"/>
      <c r="B460" s="33" t="n"/>
      <c r="C460" s="33" t="n"/>
      <c r="D460" s="32" t="n"/>
      <c r="E460" s="33" t="n"/>
      <c r="F460" s="33" t="n"/>
      <c r="G460" s="33" t="n"/>
    </row>
    <row r="461" ht="15.75" customHeight="1" s="39">
      <c r="A461" s="34" t="n"/>
      <c r="B461" s="33" t="n"/>
      <c r="C461" s="33" t="n"/>
      <c r="D461" s="32" t="n"/>
      <c r="E461" s="33" t="n"/>
      <c r="F461" s="33" t="n"/>
      <c r="G461" s="33" t="n"/>
    </row>
    <row r="462" ht="15.75" customHeight="1" s="39">
      <c r="A462" s="34" t="n"/>
      <c r="B462" s="33" t="n"/>
      <c r="C462" s="33" t="n"/>
      <c r="D462" s="32" t="n"/>
      <c r="E462" s="33" t="n"/>
      <c r="F462" s="33" t="n"/>
      <c r="G462" s="33" t="n"/>
    </row>
    <row r="463" ht="15.75" customHeight="1" s="39">
      <c r="A463" s="34" t="n"/>
      <c r="B463" s="33" t="n"/>
      <c r="C463" s="33" t="n"/>
      <c r="D463" s="32" t="n"/>
      <c r="E463" s="33" t="n"/>
      <c r="F463" s="33" t="n"/>
      <c r="G463" s="33" t="n"/>
    </row>
    <row r="464" ht="15.75" customHeight="1" s="39">
      <c r="A464" s="34" t="n"/>
      <c r="B464" s="33" t="n"/>
      <c r="C464" s="33" t="n"/>
      <c r="D464" s="32" t="n"/>
      <c r="E464" s="33" t="n"/>
      <c r="F464" s="33" t="n"/>
      <c r="G464" s="33" t="n"/>
    </row>
    <row r="465" ht="15.75" customHeight="1" s="39">
      <c r="A465" s="34" t="n"/>
      <c r="B465" s="33" t="n"/>
      <c r="C465" s="33" t="n"/>
      <c r="D465" s="32" t="n"/>
      <c r="E465" s="33" t="n"/>
      <c r="F465" s="33" t="n"/>
      <c r="G465" s="33" t="n"/>
    </row>
    <row r="466" ht="15.75" customHeight="1" s="39">
      <c r="A466" s="34" t="n"/>
      <c r="B466" s="33" t="n"/>
      <c r="C466" s="33" t="n"/>
      <c r="D466" s="32" t="n"/>
      <c r="E466" s="33" t="n"/>
      <c r="F466" s="33" t="n"/>
      <c r="G466" s="33" t="n"/>
    </row>
    <row r="467" ht="15.75" customHeight="1" s="39">
      <c r="A467" s="34" t="n"/>
      <c r="B467" s="33" t="n"/>
      <c r="C467" s="33" t="n"/>
      <c r="D467" s="32" t="n"/>
      <c r="E467" s="33" t="n"/>
      <c r="F467" s="33" t="n"/>
      <c r="G467" s="33" t="n"/>
    </row>
    <row r="468" ht="15.75" customHeight="1" s="39">
      <c r="A468" s="34" t="n"/>
      <c r="B468" s="33" t="n"/>
      <c r="C468" s="33" t="n"/>
      <c r="D468" s="32" t="n"/>
      <c r="E468" s="33" t="n"/>
      <c r="F468" s="33" t="n"/>
      <c r="G468" s="33" t="n"/>
    </row>
    <row r="469" ht="15.75" customHeight="1" s="39">
      <c r="A469" s="34" t="n"/>
      <c r="B469" s="33" t="n"/>
      <c r="C469" s="33" t="n"/>
      <c r="D469" s="32" t="n"/>
      <c r="E469" s="33" t="n"/>
      <c r="F469" s="33" t="n"/>
      <c r="G469" s="33" t="n"/>
    </row>
    <row r="470" ht="15.75" customHeight="1" s="39">
      <c r="A470" s="34" t="n"/>
      <c r="B470" s="33" t="n"/>
      <c r="C470" s="33" t="n"/>
      <c r="D470" s="32" t="n"/>
      <c r="E470" s="33" t="n"/>
      <c r="F470" s="33" t="n"/>
      <c r="G470" s="33" t="n"/>
    </row>
    <row r="471" ht="15.75" customHeight="1" s="39">
      <c r="A471" s="34" t="n"/>
      <c r="B471" s="33" t="n"/>
      <c r="C471" s="33" t="n"/>
      <c r="D471" s="32" t="n"/>
      <c r="E471" s="33" t="n"/>
      <c r="F471" s="33" t="n"/>
      <c r="G471" s="33" t="n"/>
    </row>
    <row r="472" ht="15.75" customHeight="1" s="39">
      <c r="A472" s="34" t="n"/>
      <c r="B472" s="33" t="n"/>
      <c r="C472" s="33" t="n"/>
      <c r="D472" s="32" t="n"/>
      <c r="E472" s="33" t="n"/>
      <c r="F472" s="33" t="n"/>
      <c r="G472" s="33" t="n"/>
    </row>
    <row r="473" ht="15.75" customHeight="1" s="39">
      <c r="A473" s="34" t="n"/>
      <c r="B473" s="33" t="n"/>
      <c r="C473" s="33" t="n"/>
      <c r="D473" s="32" t="n"/>
      <c r="E473" s="33" t="n"/>
      <c r="F473" s="33" t="n"/>
      <c r="G473" s="33" t="n"/>
    </row>
    <row r="474" ht="15.75" customHeight="1" s="39">
      <c r="A474" s="34" t="n"/>
      <c r="B474" s="33" t="n"/>
      <c r="C474" s="33" t="n"/>
      <c r="D474" s="32" t="n"/>
      <c r="E474" s="33" t="n"/>
      <c r="F474" s="33" t="n"/>
      <c r="G474" s="33" t="n"/>
    </row>
    <row r="475" ht="15.75" customHeight="1" s="39">
      <c r="A475" s="34" t="n"/>
      <c r="B475" s="33" t="n"/>
      <c r="C475" s="33" t="n"/>
      <c r="D475" s="32" t="n"/>
      <c r="E475" s="33" t="n"/>
      <c r="F475" s="33" t="n"/>
      <c r="G475" s="33" t="n"/>
    </row>
    <row r="476" ht="15.75" customHeight="1" s="39">
      <c r="A476" s="34" t="n"/>
      <c r="B476" s="33" t="n"/>
      <c r="C476" s="33" t="n"/>
      <c r="D476" s="32" t="n"/>
      <c r="E476" s="33" t="n"/>
      <c r="F476" s="33" t="n"/>
      <c r="G476" s="33" t="n"/>
    </row>
    <row r="477" ht="15.75" customHeight="1" s="39">
      <c r="A477" s="34" t="n"/>
      <c r="B477" s="33" t="n"/>
      <c r="C477" s="33" t="n"/>
      <c r="D477" s="32" t="n"/>
      <c r="E477" s="33" t="n"/>
      <c r="F477" s="33" t="n"/>
      <c r="G477" s="33" t="n"/>
    </row>
    <row r="478" ht="15.75" customHeight="1" s="39">
      <c r="A478" s="34" t="n"/>
      <c r="B478" s="33" t="n"/>
      <c r="C478" s="33" t="n"/>
      <c r="D478" s="32" t="n"/>
      <c r="E478" s="33" t="n"/>
      <c r="F478" s="33" t="n"/>
      <c r="G478" s="33" t="n"/>
    </row>
    <row r="479" ht="15.75" customHeight="1" s="39">
      <c r="A479" s="34" t="n"/>
      <c r="B479" s="33" t="n"/>
      <c r="C479" s="33" t="n"/>
      <c r="D479" s="32" t="n"/>
      <c r="E479" s="33" t="n"/>
      <c r="F479" s="33" t="n"/>
      <c r="G479" s="33" t="n"/>
    </row>
    <row r="480" ht="15.75" customHeight="1" s="39">
      <c r="A480" s="34" t="n"/>
      <c r="B480" s="33" t="n"/>
      <c r="C480" s="33" t="n"/>
      <c r="D480" s="32" t="n"/>
      <c r="E480" s="33" t="n"/>
      <c r="F480" s="33" t="n"/>
      <c r="G480" s="33" t="n"/>
    </row>
    <row r="481" ht="15.75" customHeight="1" s="39">
      <c r="A481" s="34" t="n"/>
      <c r="B481" s="33" t="n"/>
      <c r="C481" s="33" t="n"/>
      <c r="D481" s="32" t="n"/>
      <c r="E481" s="33" t="n"/>
      <c r="F481" s="33" t="n"/>
      <c r="G481" s="33" t="n"/>
    </row>
    <row r="482" ht="15.75" customHeight="1" s="39">
      <c r="A482" s="34" t="n"/>
      <c r="B482" s="33" t="n"/>
      <c r="C482" s="33" t="n"/>
      <c r="D482" s="32" t="n"/>
      <c r="E482" s="33" t="n"/>
      <c r="F482" s="33" t="n"/>
      <c r="G482" s="33" t="n"/>
    </row>
    <row r="483" ht="15.75" customHeight="1" s="39">
      <c r="A483" s="34" t="n"/>
      <c r="B483" s="33" t="n"/>
      <c r="C483" s="33" t="n"/>
      <c r="D483" s="32" t="n"/>
      <c r="E483" s="33" t="n"/>
      <c r="F483" s="33" t="n"/>
      <c r="G483" s="33" t="n"/>
    </row>
    <row r="484" ht="15.75" customHeight="1" s="39">
      <c r="A484" s="34" t="n"/>
      <c r="B484" s="33" t="n"/>
      <c r="C484" s="33" t="n"/>
      <c r="D484" s="32" t="n"/>
      <c r="E484" s="33" t="n"/>
      <c r="F484" s="33" t="n"/>
      <c r="G484" s="33" t="n"/>
    </row>
    <row r="485" ht="15.75" customHeight="1" s="39">
      <c r="A485" s="34" t="n"/>
      <c r="B485" s="33" t="n"/>
      <c r="C485" s="33" t="n"/>
      <c r="D485" s="32" t="n"/>
      <c r="E485" s="33" t="n"/>
      <c r="F485" s="33" t="n"/>
      <c r="G485" s="33" t="n"/>
    </row>
    <row r="486" ht="15.75" customHeight="1" s="39">
      <c r="A486" s="34" t="n"/>
      <c r="B486" s="33" t="n"/>
      <c r="C486" s="33" t="n"/>
      <c r="D486" s="32" t="n"/>
      <c r="E486" s="33" t="n"/>
      <c r="F486" s="33" t="n"/>
      <c r="G486" s="33" t="n"/>
    </row>
    <row r="487" ht="15.75" customHeight="1" s="39">
      <c r="A487" s="34" t="n"/>
      <c r="B487" s="33" t="n"/>
      <c r="C487" s="33" t="n"/>
      <c r="D487" s="32" t="n"/>
      <c r="E487" s="33" t="n"/>
      <c r="F487" s="33" t="n"/>
      <c r="G487" s="33" t="n"/>
    </row>
    <row r="488" ht="15.75" customHeight="1" s="39">
      <c r="A488" s="34" t="n"/>
      <c r="B488" s="33" t="n"/>
      <c r="C488" s="33" t="n"/>
      <c r="D488" s="32" t="n"/>
      <c r="E488" s="33" t="n"/>
      <c r="F488" s="33" t="n"/>
      <c r="G488" s="33" t="n"/>
    </row>
    <row r="489" ht="15.75" customHeight="1" s="39">
      <c r="A489" s="34" t="n"/>
      <c r="B489" s="33" t="n"/>
      <c r="C489" s="33" t="n"/>
      <c r="D489" s="32" t="n"/>
      <c r="E489" s="33" t="n"/>
      <c r="F489" s="33" t="n"/>
      <c r="G489" s="33" t="n"/>
    </row>
    <row r="490" ht="15.75" customHeight="1" s="39">
      <c r="A490" s="34" t="n"/>
      <c r="B490" s="33" t="n"/>
      <c r="C490" s="33" t="n"/>
      <c r="D490" s="32" t="n"/>
      <c r="E490" s="33" t="n"/>
      <c r="F490" s="33" t="n"/>
      <c r="G490" s="33" t="n"/>
    </row>
    <row r="491" ht="15.75" customHeight="1" s="39">
      <c r="A491" s="34" t="n"/>
      <c r="B491" s="33" t="n"/>
      <c r="C491" s="33" t="n"/>
      <c r="D491" s="32" t="n"/>
      <c r="E491" s="33" t="n"/>
      <c r="F491" s="33" t="n"/>
      <c r="G491" s="33" t="n"/>
    </row>
    <row r="492" ht="15.75" customHeight="1" s="39">
      <c r="A492" s="34" t="n"/>
      <c r="B492" s="33" t="n"/>
      <c r="C492" s="33" t="n"/>
      <c r="D492" s="32" t="n"/>
      <c r="E492" s="33" t="n"/>
      <c r="F492" s="33" t="n"/>
      <c r="G492" s="33" t="n"/>
    </row>
    <row r="493" ht="15.75" customHeight="1" s="39">
      <c r="A493" s="34" t="n"/>
      <c r="B493" s="33" t="n"/>
      <c r="C493" s="33" t="n"/>
      <c r="D493" s="32" t="n"/>
      <c r="E493" s="33" t="n"/>
      <c r="F493" s="33" t="n"/>
      <c r="G493" s="33" t="n"/>
    </row>
    <row r="494" ht="15.75" customHeight="1" s="39">
      <c r="A494" s="34" t="n"/>
      <c r="B494" s="33" t="n"/>
      <c r="C494" s="33" t="n"/>
      <c r="D494" s="32" t="n"/>
      <c r="E494" s="33" t="n"/>
      <c r="F494" s="33" t="n"/>
      <c r="G494" s="33" t="n"/>
    </row>
    <row r="495" ht="15.75" customHeight="1" s="39">
      <c r="A495" s="34" t="n"/>
      <c r="B495" s="33" t="n"/>
      <c r="C495" s="33" t="n"/>
      <c r="D495" s="32" t="n"/>
      <c r="E495" s="33" t="n"/>
      <c r="F495" s="33" t="n"/>
      <c r="G495" s="33" t="n"/>
    </row>
    <row r="496" ht="15.75" customHeight="1" s="39">
      <c r="A496" s="34" t="n"/>
      <c r="B496" s="33" t="n"/>
      <c r="C496" s="33" t="n"/>
      <c r="D496" s="32" t="n"/>
      <c r="E496" s="33" t="n"/>
      <c r="F496" s="33" t="n"/>
      <c r="G496" s="33" t="n"/>
    </row>
    <row r="497" ht="15.75" customHeight="1" s="39">
      <c r="A497" s="34" t="n"/>
      <c r="B497" s="33" t="n"/>
      <c r="C497" s="33" t="n"/>
      <c r="D497" s="32" t="n"/>
      <c r="E497" s="33" t="n"/>
      <c r="F497" s="33" t="n"/>
      <c r="G497" s="33" t="n"/>
    </row>
    <row r="498" ht="15.75" customHeight="1" s="39">
      <c r="A498" s="34" t="n"/>
      <c r="B498" s="33" t="n"/>
      <c r="C498" s="33" t="n"/>
      <c r="D498" s="32" t="n"/>
      <c r="E498" s="33" t="n"/>
      <c r="F498" s="33" t="n"/>
      <c r="G498" s="33" t="n"/>
    </row>
    <row r="499" ht="15.75" customHeight="1" s="39">
      <c r="A499" s="34" t="n"/>
      <c r="B499" s="33" t="n"/>
      <c r="C499" s="33" t="n"/>
      <c r="D499" s="32" t="n"/>
      <c r="E499" s="33" t="n"/>
      <c r="F499" s="33" t="n"/>
      <c r="G499" s="33" t="n"/>
    </row>
    <row r="500" ht="15.75" customHeight="1" s="39">
      <c r="A500" s="34" t="n"/>
      <c r="B500" s="33" t="n"/>
      <c r="C500" s="33" t="n"/>
      <c r="D500" s="32" t="n"/>
      <c r="E500" s="33" t="n"/>
      <c r="F500" s="33" t="n"/>
      <c r="G500" s="33" t="n"/>
    </row>
    <row r="501" ht="15.75" customHeight="1" s="39">
      <c r="A501" s="34" t="n"/>
      <c r="B501" s="33" t="n"/>
      <c r="C501" s="33" t="n"/>
      <c r="D501" s="32" t="n"/>
      <c r="E501" s="33" t="n"/>
      <c r="F501" s="33" t="n"/>
      <c r="G501" s="33" t="n"/>
    </row>
    <row r="502" ht="15.75" customHeight="1" s="39">
      <c r="A502" s="34" t="n"/>
      <c r="B502" s="33" t="n"/>
      <c r="C502" s="33" t="n"/>
      <c r="D502" s="32" t="n"/>
      <c r="E502" s="33" t="n"/>
      <c r="F502" s="33" t="n"/>
      <c r="G502" s="33" t="n"/>
    </row>
    <row r="503" ht="15.75" customHeight="1" s="39">
      <c r="A503" s="34" t="n"/>
      <c r="B503" s="33" t="n"/>
      <c r="C503" s="33" t="n"/>
      <c r="D503" s="32" t="n"/>
      <c r="E503" s="33" t="n"/>
      <c r="F503" s="33" t="n"/>
      <c r="G503" s="33" t="n"/>
    </row>
    <row r="504" ht="15.75" customHeight="1" s="39">
      <c r="A504" s="34" t="n"/>
      <c r="B504" s="33" t="n"/>
      <c r="C504" s="33" t="n"/>
      <c r="D504" s="32" t="n"/>
      <c r="E504" s="33" t="n"/>
      <c r="F504" s="33" t="n"/>
      <c r="G504" s="33" t="n"/>
    </row>
    <row r="505" ht="15.75" customHeight="1" s="39">
      <c r="A505" s="34" t="n"/>
      <c r="B505" s="33" t="n"/>
      <c r="C505" s="33" t="n"/>
      <c r="D505" s="32" t="n"/>
      <c r="E505" s="33" t="n"/>
      <c r="F505" s="33" t="n"/>
      <c r="G505" s="33" t="n"/>
    </row>
    <row r="506" ht="15.75" customHeight="1" s="39">
      <c r="A506" s="34" t="n"/>
      <c r="B506" s="33" t="n"/>
      <c r="C506" s="33" t="n"/>
      <c r="D506" s="32" t="n"/>
      <c r="E506" s="33" t="n"/>
      <c r="F506" s="33" t="n"/>
      <c r="G506" s="33" t="n"/>
    </row>
    <row r="507" ht="15.75" customHeight="1" s="39">
      <c r="A507" s="34" t="n"/>
      <c r="B507" s="33" t="n"/>
      <c r="C507" s="33" t="n"/>
      <c r="D507" s="32" t="n"/>
      <c r="E507" s="33" t="n"/>
      <c r="F507" s="33" t="n"/>
      <c r="G507" s="33" t="n"/>
    </row>
    <row r="508" ht="15.75" customHeight="1" s="39">
      <c r="A508" s="34" t="n"/>
      <c r="B508" s="33" t="n"/>
      <c r="C508" s="33" t="n"/>
      <c r="D508" s="32" t="n"/>
      <c r="E508" s="33" t="n"/>
      <c r="F508" s="33" t="n"/>
      <c r="G508" s="33" t="n"/>
    </row>
    <row r="509" ht="15.75" customHeight="1" s="39">
      <c r="A509" s="34" t="n"/>
      <c r="B509" s="33" t="n"/>
      <c r="C509" s="33" t="n"/>
      <c r="D509" s="32" t="n"/>
      <c r="E509" s="33" t="n"/>
      <c r="F509" s="33" t="n"/>
      <c r="G509" s="33" t="n"/>
    </row>
    <row r="510" ht="15.75" customHeight="1" s="39">
      <c r="A510" s="34" t="n"/>
      <c r="B510" s="33" t="n"/>
      <c r="C510" s="33" t="n"/>
      <c r="D510" s="32" t="n"/>
      <c r="E510" s="33" t="n"/>
      <c r="F510" s="33" t="n"/>
      <c r="G510" s="33" t="n"/>
    </row>
    <row r="511" ht="15.75" customHeight="1" s="39">
      <c r="A511" s="34" t="n"/>
      <c r="B511" s="33" t="n"/>
      <c r="C511" s="33" t="n"/>
      <c r="D511" s="32" t="n"/>
      <c r="E511" s="33" t="n"/>
      <c r="F511" s="33" t="n"/>
      <c r="G511" s="33" t="n"/>
    </row>
    <row r="512" ht="15.75" customHeight="1" s="39">
      <c r="A512" s="34" t="n"/>
      <c r="B512" s="33" t="n"/>
      <c r="C512" s="33" t="n"/>
      <c r="D512" s="32" t="n"/>
      <c r="E512" s="33" t="n"/>
      <c r="F512" s="33" t="n"/>
      <c r="G512" s="33" t="n"/>
    </row>
    <row r="513" ht="15.75" customHeight="1" s="39">
      <c r="A513" s="34" t="n"/>
      <c r="B513" s="33" t="n"/>
      <c r="C513" s="33" t="n"/>
      <c r="D513" s="32" t="n"/>
      <c r="E513" s="33" t="n"/>
      <c r="F513" s="33" t="n"/>
      <c r="G513" s="33" t="n"/>
    </row>
    <row r="514" ht="15.75" customHeight="1" s="39">
      <c r="A514" s="34" t="n"/>
      <c r="B514" s="33" t="n"/>
      <c r="C514" s="33" t="n"/>
      <c r="D514" s="32" t="n"/>
      <c r="E514" s="33" t="n"/>
      <c r="F514" s="33" t="n"/>
      <c r="G514" s="33" t="n"/>
    </row>
    <row r="515" ht="15.75" customHeight="1" s="39">
      <c r="A515" s="34" t="n"/>
      <c r="B515" s="33" t="n"/>
      <c r="C515" s="33" t="n"/>
      <c r="D515" s="32" t="n"/>
      <c r="E515" s="33" t="n"/>
      <c r="F515" s="33" t="n"/>
      <c r="G515" s="33" t="n"/>
    </row>
    <row r="516" ht="15.75" customHeight="1" s="39">
      <c r="A516" s="34" t="n"/>
      <c r="B516" s="33" t="n"/>
      <c r="C516" s="33" t="n"/>
      <c r="D516" s="32" t="n"/>
      <c r="E516" s="33" t="n"/>
      <c r="F516" s="33" t="n"/>
      <c r="G516" s="33" t="n"/>
    </row>
    <row r="517" ht="15.75" customHeight="1" s="39">
      <c r="A517" s="34" t="n"/>
      <c r="B517" s="33" t="n"/>
      <c r="C517" s="33" t="n"/>
      <c r="D517" s="32" t="n"/>
      <c r="E517" s="33" t="n"/>
      <c r="F517" s="33" t="n"/>
      <c r="G517" s="33" t="n"/>
    </row>
    <row r="518" ht="15.75" customHeight="1" s="39">
      <c r="A518" s="34" t="n"/>
      <c r="B518" s="33" t="n"/>
      <c r="C518" s="33" t="n"/>
      <c r="D518" s="32" t="n"/>
      <c r="E518" s="33" t="n"/>
      <c r="F518" s="33" t="n"/>
      <c r="G518" s="33" t="n"/>
    </row>
    <row r="519" ht="15.75" customHeight="1" s="39">
      <c r="A519" s="34" t="n"/>
      <c r="B519" s="33" t="n"/>
      <c r="C519" s="33" t="n"/>
      <c r="D519" s="32" t="n"/>
      <c r="E519" s="33" t="n"/>
      <c r="F519" s="33" t="n"/>
      <c r="G519" s="33" t="n"/>
    </row>
    <row r="520" ht="15.75" customHeight="1" s="39">
      <c r="A520" s="34" t="n"/>
      <c r="B520" s="33" t="n"/>
      <c r="C520" s="33" t="n"/>
      <c r="D520" s="32" t="n"/>
      <c r="E520" s="33" t="n"/>
      <c r="F520" s="33" t="n"/>
      <c r="G520" s="33" t="n"/>
    </row>
    <row r="521" ht="15.75" customHeight="1" s="39">
      <c r="A521" s="34" t="n"/>
      <c r="B521" s="33" t="n"/>
      <c r="C521" s="33" t="n"/>
      <c r="D521" s="32" t="n"/>
      <c r="E521" s="33" t="n"/>
      <c r="F521" s="33" t="n"/>
      <c r="G521" s="33" t="n"/>
    </row>
    <row r="522" ht="15.75" customHeight="1" s="39">
      <c r="A522" s="34" t="n"/>
      <c r="B522" s="33" t="n"/>
      <c r="C522" s="33" t="n"/>
      <c r="D522" s="32" t="n"/>
      <c r="E522" s="33" t="n"/>
      <c r="F522" s="33" t="n"/>
      <c r="G522" s="33" t="n"/>
    </row>
    <row r="523" ht="15.75" customHeight="1" s="39">
      <c r="A523" s="34" t="n"/>
      <c r="B523" s="33" t="n"/>
      <c r="C523" s="33" t="n"/>
      <c r="D523" s="32" t="n"/>
      <c r="E523" s="33" t="n"/>
      <c r="F523" s="33" t="n"/>
      <c r="G523" s="33" t="n"/>
    </row>
    <row r="524" ht="15.75" customHeight="1" s="39">
      <c r="A524" s="34" t="n"/>
      <c r="B524" s="33" t="n"/>
      <c r="C524" s="33" t="n"/>
      <c r="D524" s="32" t="n"/>
      <c r="E524" s="33" t="n"/>
      <c r="F524" s="33" t="n"/>
      <c r="G524" s="33" t="n"/>
    </row>
    <row r="525" ht="15.75" customHeight="1" s="39">
      <c r="A525" s="34" t="n"/>
      <c r="B525" s="33" t="n"/>
      <c r="C525" s="33" t="n"/>
      <c r="D525" s="32" t="n"/>
      <c r="E525" s="33" t="n"/>
      <c r="F525" s="33" t="n"/>
      <c r="G525" s="33" t="n"/>
    </row>
    <row r="526" ht="15.75" customHeight="1" s="39">
      <c r="A526" s="34" t="n"/>
      <c r="B526" s="33" t="n"/>
      <c r="C526" s="33" t="n"/>
      <c r="D526" s="32" t="n"/>
      <c r="E526" s="33" t="n"/>
      <c r="F526" s="33" t="n"/>
      <c r="G526" s="33" t="n"/>
    </row>
    <row r="527" ht="15.75" customHeight="1" s="39">
      <c r="A527" s="34" t="n"/>
      <c r="B527" s="33" t="n"/>
      <c r="C527" s="33" t="n"/>
      <c r="D527" s="32" t="n"/>
      <c r="E527" s="33" t="n"/>
      <c r="F527" s="33" t="n"/>
      <c r="G527" s="33" t="n"/>
    </row>
    <row r="528" ht="15.75" customHeight="1" s="39">
      <c r="A528" s="34" t="n"/>
      <c r="B528" s="33" t="n"/>
      <c r="C528" s="33" t="n"/>
      <c r="D528" s="32" t="n"/>
      <c r="E528" s="33" t="n"/>
      <c r="F528" s="33" t="n"/>
      <c r="G528" s="33" t="n"/>
    </row>
    <row r="529" ht="15.75" customHeight="1" s="39">
      <c r="A529" s="34" t="n"/>
      <c r="B529" s="33" t="n"/>
      <c r="C529" s="33" t="n"/>
      <c r="D529" s="32" t="n"/>
      <c r="E529" s="33" t="n"/>
      <c r="F529" s="33" t="n"/>
      <c r="G529" s="33" t="n"/>
    </row>
    <row r="530" ht="15.75" customHeight="1" s="39">
      <c r="A530" s="34" t="n"/>
      <c r="B530" s="33" t="n"/>
      <c r="C530" s="33" t="n"/>
      <c r="D530" s="32" t="n"/>
      <c r="E530" s="33" t="n"/>
      <c r="F530" s="33" t="n"/>
      <c r="G530" s="33" t="n"/>
    </row>
    <row r="531" ht="15.75" customHeight="1" s="39">
      <c r="A531" s="34" t="n"/>
      <c r="B531" s="33" t="n"/>
      <c r="C531" s="33" t="n"/>
      <c r="D531" s="32" t="n"/>
      <c r="E531" s="33" t="n"/>
      <c r="F531" s="33" t="n"/>
      <c r="G531" s="33" t="n"/>
    </row>
    <row r="532" ht="15.75" customHeight="1" s="39">
      <c r="A532" s="34" t="n"/>
      <c r="B532" s="33" t="n"/>
      <c r="C532" s="33" t="n"/>
      <c r="D532" s="32" t="n"/>
      <c r="E532" s="33" t="n"/>
      <c r="F532" s="33" t="n"/>
      <c r="G532" s="33" t="n"/>
    </row>
    <row r="533" ht="15.75" customHeight="1" s="39">
      <c r="A533" s="34" t="n"/>
      <c r="B533" s="33" t="n"/>
      <c r="C533" s="33" t="n"/>
      <c r="D533" s="32" t="n"/>
      <c r="E533" s="33" t="n"/>
      <c r="F533" s="33" t="n"/>
      <c r="G533" s="33" t="n"/>
    </row>
    <row r="534" ht="15.75" customHeight="1" s="39">
      <c r="A534" s="34" t="n"/>
      <c r="B534" s="33" t="n"/>
      <c r="C534" s="33" t="n"/>
      <c r="D534" s="32" t="n"/>
      <c r="E534" s="33" t="n"/>
      <c r="F534" s="33" t="n"/>
      <c r="G534" s="33" t="n"/>
    </row>
    <row r="535" ht="15.75" customHeight="1" s="39">
      <c r="A535" s="34" t="n"/>
      <c r="B535" s="33" t="n"/>
      <c r="C535" s="33" t="n"/>
      <c r="D535" s="32" t="n"/>
      <c r="E535" s="33" t="n"/>
      <c r="F535" s="33" t="n"/>
      <c r="G535" s="33" t="n"/>
    </row>
    <row r="536" ht="15.75" customHeight="1" s="39">
      <c r="A536" s="34" t="n"/>
      <c r="B536" s="33" t="n"/>
      <c r="C536" s="33" t="n"/>
      <c r="D536" s="32" t="n"/>
      <c r="E536" s="33" t="n"/>
      <c r="F536" s="33" t="n"/>
      <c r="G536" s="33" t="n"/>
    </row>
    <row r="537" ht="15.75" customHeight="1" s="39">
      <c r="A537" s="34" t="n"/>
      <c r="B537" s="33" t="n"/>
      <c r="C537" s="33" t="n"/>
      <c r="D537" s="32" t="n"/>
      <c r="E537" s="33" t="n"/>
      <c r="F537" s="33" t="n"/>
      <c r="G537" s="33" t="n"/>
    </row>
    <row r="538" ht="15.75" customHeight="1" s="39">
      <c r="A538" s="34" t="n"/>
      <c r="B538" s="33" t="n"/>
      <c r="C538" s="33" t="n"/>
      <c r="D538" s="32" t="n"/>
      <c r="E538" s="33" t="n"/>
      <c r="F538" s="33" t="n"/>
      <c r="G538" s="33" t="n"/>
    </row>
    <row r="539" ht="15.75" customHeight="1" s="39">
      <c r="A539" s="34" t="n"/>
      <c r="B539" s="33" t="n"/>
      <c r="C539" s="33" t="n"/>
      <c r="D539" s="32" t="n"/>
      <c r="E539" s="33" t="n"/>
      <c r="F539" s="33" t="n"/>
      <c r="G539" s="33" t="n"/>
    </row>
    <row r="540" ht="15.75" customHeight="1" s="39">
      <c r="A540" s="34" t="n"/>
      <c r="B540" s="33" t="n"/>
      <c r="C540" s="33" t="n"/>
      <c r="D540" s="32" t="n"/>
      <c r="E540" s="33" t="n"/>
      <c r="F540" s="33" t="n"/>
      <c r="G540" s="33" t="n"/>
    </row>
    <row r="541" ht="15.75" customHeight="1" s="39">
      <c r="A541" s="34" t="n"/>
      <c r="B541" s="33" t="n"/>
      <c r="C541" s="33" t="n"/>
      <c r="D541" s="32" t="n"/>
      <c r="E541" s="33" t="n"/>
      <c r="F541" s="33" t="n"/>
      <c r="G541" s="33" t="n"/>
    </row>
    <row r="542" ht="15.75" customHeight="1" s="39">
      <c r="A542" s="34" t="n"/>
      <c r="B542" s="33" t="n"/>
      <c r="C542" s="33" t="n"/>
      <c r="D542" s="32" t="n"/>
      <c r="E542" s="33" t="n"/>
      <c r="F542" s="33" t="n"/>
      <c r="G542" s="33" t="n"/>
    </row>
    <row r="543" ht="15.75" customHeight="1" s="39">
      <c r="A543" s="34" t="n"/>
      <c r="B543" s="33" t="n"/>
      <c r="C543" s="33" t="n"/>
      <c r="D543" s="32" t="n"/>
      <c r="E543" s="33" t="n"/>
      <c r="F543" s="33" t="n"/>
      <c r="G543" s="33" t="n"/>
    </row>
    <row r="544" ht="15.75" customHeight="1" s="39">
      <c r="A544" s="34" t="n"/>
      <c r="B544" s="33" t="n"/>
      <c r="C544" s="33" t="n"/>
      <c r="D544" s="32" t="n"/>
      <c r="E544" s="33" t="n"/>
      <c r="F544" s="33" t="n"/>
      <c r="G544" s="33" t="n"/>
    </row>
    <row r="545" ht="15.75" customHeight="1" s="39">
      <c r="A545" s="34" t="n"/>
      <c r="B545" s="33" t="n"/>
      <c r="C545" s="33" t="n"/>
      <c r="D545" s="32" t="n"/>
      <c r="E545" s="33" t="n"/>
      <c r="F545" s="33" t="n"/>
      <c r="G545" s="33" t="n"/>
    </row>
    <row r="546" ht="15.75" customHeight="1" s="39">
      <c r="A546" s="34" t="n"/>
      <c r="B546" s="33" t="n"/>
      <c r="C546" s="33" t="n"/>
      <c r="D546" s="32" t="n"/>
      <c r="E546" s="33" t="n"/>
      <c r="F546" s="33" t="n"/>
      <c r="G546" s="33" t="n"/>
    </row>
    <row r="547" ht="15.75" customHeight="1" s="39">
      <c r="A547" s="34" t="n"/>
      <c r="B547" s="33" t="n"/>
      <c r="C547" s="33" t="n"/>
      <c r="D547" s="32" t="n"/>
      <c r="E547" s="33" t="n"/>
      <c r="F547" s="33" t="n"/>
      <c r="G547" s="33" t="n"/>
    </row>
    <row r="548" ht="15.75" customHeight="1" s="39">
      <c r="A548" s="34" t="n"/>
      <c r="B548" s="33" t="n"/>
      <c r="C548" s="33" t="n"/>
      <c r="D548" s="32" t="n"/>
      <c r="E548" s="33" t="n"/>
      <c r="F548" s="33" t="n"/>
      <c r="G548" s="33" t="n"/>
    </row>
    <row r="549" ht="15.75" customHeight="1" s="39">
      <c r="A549" s="34" t="n"/>
      <c r="B549" s="33" t="n"/>
      <c r="C549" s="33" t="n"/>
      <c r="D549" s="32" t="n"/>
      <c r="E549" s="33" t="n"/>
      <c r="F549" s="33" t="n"/>
      <c r="G549" s="33" t="n"/>
    </row>
    <row r="550" ht="15.75" customHeight="1" s="39">
      <c r="A550" s="34" t="n"/>
      <c r="B550" s="33" t="n"/>
      <c r="C550" s="33" t="n"/>
      <c r="D550" s="32" t="n"/>
      <c r="E550" s="33" t="n"/>
      <c r="F550" s="33" t="n"/>
      <c r="G550" s="33" t="n"/>
    </row>
    <row r="551" ht="15.75" customHeight="1" s="39">
      <c r="A551" s="34" t="n"/>
      <c r="B551" s="33" t="n"/>
      <c r="C551" s="33" t="n"/>
      <c r="D551" s="32" t="n"/>
      <c r="E551" s="33" t="n"/>
      <c r="F551" s="33" t="n"/>
      <c r="G551" s="33" t="n"/>
    </row>
    <row r="552" ht="15.75" customHeight="1" s="39">
      <c r="A552" s="34" t="n"/>
      <c r="B552" s="33" t="n"/>
      <c r="C552" s="33" t="n"/>
      <c r="D552" s="32" t="n"/>
      <c r="E552" s="33" t="n"/>
      <c r="F552" s="33" t="n"/>
      <c r="G552" s="33" t="n"/>
    </row>
    <row r="553" ht="15.75" customHeight="1" s="39">
      <c r="A553" s="34" t="n"/>
      <c r="B553" s="33" t="n"/>
      <c r="C553" s="33" t="n"/>
      <c r="D553" s="32" t="n"/>
      <c r="E553" s="33" t="n"/>
      <c r="F553" s="33" t="n"/>
      <c r="G553" s="33" t="n"/>
    </row>
    <row r="554" ht="15.75" customHeight="1" s="39">
      <c r="A554" s="34" t="n"/>
      <c r="B554" s="33" t="n"/>
      <c r="C554" s="33" t="n"/>
      <c r="D554" s="32" t="n"/>
      <c r="E554" s="33" t="n"/>
      <c r="F554" s="33" t="n"/>
      <c r="G554" s="33" t="n"/>
    </row>
    <row r="555" ht="15.75" customHeight="1" s="39">
      <c r="A555" s="34" t="n"/>
      <c r="B555" s="33" t="n"/>
      <c r="C555" s="33" t="n"/>
      <c r="D555" s="32" t="n"/>
      <c r="E555" s="33" t="n"/>
      <c r="F555" s="33" t="n"/>
      <c r="G555" s="33" t="n"/>
    </row>
    <row r="556" ht="15.75" customHeight="1" s="39">
      <c r="A556" s="34" t="n"/>
      <c r="B556" s="33" t="n"/>
      <c r="C556" s="33" t="n"/>
      <c r="D556" s="32" t="n"/>
      <c r="E556" s="33" t="n"/>
      <c r="F556" s="33" t="n"/>
      <c r="G556" s="33" t="n"/>
    </row>
    <row r="557" ht="15.75" customHeight="1" s="39">
      <c r="A557" s="34" t="n"/>
      <c r="B557" s="33" t="n"/>
      <c r="C557" s="33" t="n"/>
      <c r="D557" s="32" t="n"/>
      <c r="E557" s="33" t="n"/>
      <c r="F557" s="33" t="n"/>
      <c r="G557" s="33" t="n"/>
    </row>
    <row r="558" ht="15.75" customHeight="1" s="39">
      <c r="A558" s="34" t="n"/>
      <c r="B558" s="33" t="n"/>
      <c r="C558" s="33" t="n"/>
      <c r="D558" s="32" t="n"/>
      <c r="E558" s="33" t="n"/>
      <c r="F558" s="33" t="n"/>
      <c r="G558" s="33" t="n"/>
    </row>
    <row r="559" ht="15.75" customHeight="1" s="39">
      <c r="A559" s="34" t="n"/>
      <c r="B559" s="33" t="n"/>
      <c r="C559" s="33" t="n"/>
      <c r="D559" s="32" t="n"/>
      <c r="E559" s="33" t="n"/>
      <c r="F559" s="33" t="n"/>
      <c r="G559" s="33" t="n"/>
    </row>
    <row r="560" ht="15.75" customHeight="1" s="39">
      <c r="A560" s="34" t="n"/>
      <c r="B560" s="33" t="n"/>
      <c r="C560" s="33" t="n"/>
      <c r="D560" s="32" t="n"/>
      <c r="E560" s="33" t="n"/>
      <c r="F560" s="33" t="n"/>
      <c r="G560" s="33" t="n"/>
    </row>
    <row r="561" ht="15.75" customHeight="1" s="39">
      <c r="A561" s="34" t="n"/>
      <c r="B561" s="33" t="n"/>
      <c r="C561" s="33" t="n"/>
      <c r="D561" s="32" t="n"/>
      <c r="E561" s="33" t="n"/>
      <c r="F561" s="33" t="n"/>
      <c r="G561" s="33" t="n"/>
    </row>
    <row r="562" ht="15.75" customHeight="1" s="39">
      <c r="A562" s="34" t="n"/>
      <c r="B562" s="33" t="n"/>
      <c r="C562" s="33" t="n"/>
      <c r="D562" s="32" t="n"/>
      <c r="E562" s="33" t="n"/>
      <c r="F562" s="33" t="n"/>
      <c r="G562" s="33" t="n"/>
    </row>
    <row r="563" ht="15.75" customHeight="1" s="39">
      <c r="A563" s="34" t="n"/>
      <c r="B563" s="33" t="n"/>
      <c r="C563" s="33" t="n"/>
      <c r="D563" s="32" t="n"/>
      <c r="E563" s="33" t="n"/>
      <c r="F563" s="33" t="n"/>
      <c r="G563" s="33" t="n"/>
    </row>
    <row r="564" ht="15.75" customHeight="1" s="39">
      <c r="A564" s="34" t="n"/>
      <c r="B564" s="33" t="n"/>
      <c r="C564" s="33" t="n"/>
      <c r="D564" s="32" t="n"/>
      <c r="E564" s="33" t="n"/>
      <c r="F564" s="33" t="n"/>
      <c r="G564" s="33" t="n"/>
    </row>
    <row r="565" ht="15.75" customHeight="1" s="39">
      <c r="A565" s="34" t="n"/>
      <c r="B565" s="33" t="n"/>
      <c r="C565" s="33" t="n"/>
      <c r="D565" s="32" t="n"/>
      <c r="E565" s="33" t="n"/>
      <c r="F565" s="33" t="n"/>
      <c r="G565" s="33" t="n"/>
    </row>
    <row r="566" ht="15.75" customHeight="1" s="39">
      <c r="A566" s="34" t="n"/>
      <c r="B566" s="33" t="n"/>
      <c r="C566" s="33" t="n"/>
      <c r="D566" s="32" t="n"/>
      <c r="E566" s="33" t="n"/>
      <c r="F566" s="33" t="n"/>
      <c r="G566" s="33" t="n"/>
    </row>
    <row r="567" ht="15.75" customHeight="1" s="39">
      <c r="A567" s="34" t="n"/>
      <c r="B567" s="33" t="n"/>
      <c r="C567" s="33" t="n"/>
      <c r="D567" s="32" t="n"/>
      <c r="E567" s="33" t="n"/>
      <c r="F567" s="33" t="n"/>
      <c r="G567" s="33" t="n"/>
    </row>
    <row r="568" ht="15.75" customHeight="1" s="39">
      <c r="A568" s="34" t="n"/>
      <c r="B568" s="33" t="n"/>
      <c r="C568" s="33" t="n"/>
      <c r="D568" s="32" t="n"/>
      <c r="E568" s="33" t="n"/>
      <c r="F568" s="33" t="n"/>
      <c r="G568" s="33" t="n"/>
    </row>
    <row r="569" ht="15.75" customHeight="1" s="39">
      <c r="A569" s="34" t="n"/>
      <c r="B569" s="33" t="n"/>
      <c r="C569" s="33" t="n"/>
      <c r="D569" s="32" t="n"/>
      <c r="E569" s="33" t="n"/>
      <c r="F569" s="33" t="n"/>
      <c r="G569" s="33" t="n"/>
    </row>
    <row r="570" ht="15.75" customHeight="1" s="39">
      <c r="A570" s="34" t="n"/>
      <c r="B570" s="33" t="n"/>
      <c r="C570" s="33" t="n"/>
      <c r="D570" s="32" t="n"/>
      <c r="E570" s="33" t="n"/>
      <c r="F570" s="33" t="n"/>
      <c r="G570" s="33" t="n"/>
    </row>
    <row r="571" ht="15.75" customHeight="1" s="39">
      <c r="A571" s="34" t="n"/>
      <c r="B571" s="33" t="n"/>
      <c r="C571" s="33" t="n"/>
      <c r="D571" s="32" t="n"/>
      <c r="E571" s="33" t="n"/>
      <c r="F571" s="33" t="n"/>
      <c r="G571" s="33" t="n"/>
    </row>
    <row r="572" ht="15.75" customHeight="1" s="39">
      <c r="A572" s="34" t="n"/>
      <c r="B572" s="33" t="n"/>
      <c r="C572" s="33" t="n"/>
      <c r="D572" s="32" t="n"/>
      <c r="E572" s="33" t="n"/>
      <c r="F572" s="33" t="n"/>
      <c r="G572" s="33" t="n"/>
    </row>
    <row r="573" ht="15.75" customHeight="1" s="39">
      <c r="A573" s="34" t="n"/>
      <c r="B573" s="33" t="n"/>
      <c r="C573" s="33" t="n"/>
      <c r="D573" s="32" t="n"/>
      <c r="E573" s="33" t="n"/>
      <c r="F573" s="33" t="n"/>
      <c r="G573" s="10" t="n"/>
    </row>
    <row r="574" ht="15.75" customHeight="1" s="39">
      <c r="A574" s="34" t="n"/>
      <c r="B574" s="33" t="n"/>
      <c r="C574" s="33" t="n"/>
      <c r="D574" s="32" t="n"/>
      <c r="E574" s="33" t="n"/>
      <c r="F574" s="33" t="n"/>
      <c r="G574" s="10" t="n"/>
    </row>
    <row r="575" ht="15.75" customHeight="1" s="39">
      <c r="A575" s="34" t="n"/>
      <c r="B575" s="33" t="n"/>
      <c r="C575" s="33" t="n"/>
      <c r="D575" s="32" t="n"/>
      <c r="E575" s="33" t="n"/>
      <c r="F575" s="33" t="n"/>
      <c r="G575" s="10" t="n"/>
    </row>
    <row r="576" ht="15.75" customHeight="1" s="39">
      <c r="A576" s="34" t="n"/>
      <c r="B576" s="33" t="n"/>
      <c r="C576" s="33" t="n"/>
      <c r="D576" s="32" t="n"/>
      <c r="E576" s="33" t="n"/>
      <c r="F576" s="33" t="n"/>
      <c r="G576" s="10" t="n"/>
    </row>
    <row r="577" ht="15.75" customHeight="1" s="39">
      <c r="A577" s="34" t="n"/>
      <c r="B577" s="33" t="n"/>
      <c r="C577" s="33" t="n"/>
      <c r="D577" s="32" t="n"/>
      <c r="E577" s="33" t="n"/>
      <c r="F577" s="33" t="n"/>
      <c r="G577" s="10" t="n"/>
    </row>
    <row r="578" ht="15.75" customHeight="1" s="39">
      <c r="A578" s="34" t="n"/>
      <c r="B578" s="33" t="n"/>
      <c r="C578" s="33" t="n"/>
      <c r="D578" s="32" t="n"/>
      <c r="E578" s="33" t="n"/>
      <c r="F578" s="33" t="n"/>
      <c r="G578" s="10" t="n"/>
    </row>
    <row r="579" ht="15.75" customHeight="1" s="39">
      <c r="A579" s="34" t="n"/>
      <c r="B579" s="33" t="n"/>
      <c r="C579" s="33" t="n"/>
      <c r="D579" s="32" t="n"/>
      <c r="E579" s="33" t="n"/>
      <c r="F579" s="33" t="n"/>
      <c r="G579" s="10" t="n"/>
    </row>
    <row r="580" ht="15.75" customHeight="1" s="39">
      <c r="A580" s="34" t="n"/>
      <c r="B580" s="33" t="n"/>
      <c r="C580" s="33" t="n"/>
      <c r="D580" s="32" t="n"/>
      <c r="E580" s="33" t="n"/>
      <c r="F580" s="33" t="n"/>
      <c r="G580" s="10" t="n"/>
    </row>
    <row r="581" ht="15.75" customHeight="1" s="39">
      <c r="A581" s="34" t="n"/>
      <c r="B581" s="33" t="n"/>
      <c r="C581" s="33" t="n"/>
      <c r="D581" s="32" t="n"/>
      <c r="E581" s="33" t="n"/>
      <c r="F581" s="33" t="n"/>
      <c r="G581" s="10" t="n"/>
    </row>
    <row r="582" ht="15.75" customHeight="1" s="39">
      <c r="A582" s="34" t="n"/>
      <c r="B582" s="33" t="n"/>
      <c r="C582" s="33" t="n"/>
      <c r="D582" s="32" t="n"/>
      <c r="E582" s="33" t="n"/>
      <c r="F582" s="33" t="n"/>
      <c r="G582" s="10" t="n"/>
    </row>
    <row r="583" ht="15.75" customHeight="1" s="39">
      <c r="A583" s="34" t="n"/>
      <c r="B583" s="33" t="n"/>
      <c r="C583" s="33" t="n"/>
      <c r="D583" s="32" t="n"/>
      <c r="E583" s="33" t="n"/>
      <c r="F583" s="33" t="n"/>
      <c r="G583" s="10" t="n"/>
    </row>
    <row r="584" ht="15.75" customHeight="1" s="39">
      <c r="A584" s="34" t="n"/>
      <c r="B584" s="33" t="n"/>
      <c r="C584" s="33" t="n"/>
      <c r="D584" s="32" t="n"/>
      <c r="E584" s="33" t="n"/>
      <c r="F584" s="33" t="n"/>
      <c r="G584" s="10" t="n"/>
    </row>
    <row r="585" ht="15.75" customHeight="1" s="39">
      <c r="A585" s="34" t="n"/>
      <c r="B585" s="33" t="n"/>
      <c r="C585" s="33" t="n"/>
      <c r="D585" s="32" t="n"/>
      <c r="E585" s="33" t="n"/>
      <c r="F585" s="33" t="n"/>
      <c r="G585" s="10" t="n"/>
    </row>
    <row r="586" ht="15.75" customHeight="1" s="39">
      <c r="A586" s="34" t="n"/>
      <c r="B586" s="33" t="n"/>
      <c r="C586" s="33" t="n"/>
      <c r="D586" s="32" t="n"/>
      <c r="E586" s="33" t="n"/>
      <c r="F586" s="33" t="n"/>
      <c r="G586" s="10" t="n"/>
    </row>
    <row r="587" ht="15.75" customHeight="1" s="39">
      <c r="A587" s="34" t="n"/>
      <c r="B587" s="33" t="n"/>
      <c r="C587" s="33" t="n"/>
      <c r="D587" s="32" t="n"/>
      <c r="E587" s="33" t="n"/>
      <c r="F587" s="33" t="n"/>
      <c r="G587" s="10" t="n"/>
    </row>
    <row r="588" ht="15.75" customHeight="1" s="39">
      <c r="A588" s="34" t="n"/>
      <c r="B588" s="33" t="n"/>
      <c r="C588" s="33" t="n"/>
      <c r="D588" s="32" t="n"/>
      <c r="E588" s="33" t="n"/>
      <c r="F588" s="33" t="n"/>
      <c r="G588" s="10" t="n"/>
    </row>
    <row r="589" ht="15.75" customHeight="1" s="39">
      <c r="A589" s="34" t="n"/>
      <c r="B589" s="33" t="n"/>
      <c r="C589" s="33" t="n"/>
      <c r="D589" s="32" t="n"/>
      <c r="E589" s="33" t="n"/>
      <c r="F589" s="33" t="n"/>
      <c r="G589" s="10" t="n"/>
    </row>
    <row r="590" ht="15.75" customHeight="1" s="39">
      <c r="A590" s="34" t="n"/>
      <c r="B590" s="33" t="n"/>
      <c r="C590" s="33" t="n"/>
      <c r="D590" s="32" t="n"/>
      <c r="E590" s="33" t="n"/>
      <c r="F590" s="33" t="n"/>
      <c r="G590" s="10" t="n"/>
    </row>
    <row r="591" ht="15.75" customHeight="1" s="39">
      <c r="A591" s="34" t="n"/>
      <c r="B591" s="33" t="n"/>
      <c r="C591" s="33" t="n"/>
      <c r="D591" s="32" t="n"/>
      <c r="E591" s="33" t="n"/>
      <c r="F591" s="33" t="n"/>
      <c r="G591" s="10" t="n"/>
    </row>
    <row r="592" ht="15.75" customHeight="1" s="39">
      <c r="A592" s="34" t="n"/>
      <c r="B592" s="33" t="n"/>
      <c r="C592" s="33" t="n"/>
      <c r="D592" s="32" t="n"/>
      <c r="E592" s="33" t="n"/>
      <c r="F592" s="33" t="n"/>
      <c r="G592" s="10" t="n"/>
    </row>
    <row r="593" ht="15.75" customHeight="1" s="39">
      <c r="A593" s="34" t="n"/>
      <c r="B593" s="33" t="n"/>
      <c r="C593" s="33" t="n"/>
      <c r="D593" s="32" t="n"/>
      <c r="E593" s="33" t="n"/>
      <c r="F593" s="33" t="n"/>
      <c r="G593" s="10" t="n"/>
    </row>
    <row r="594" ht="15.75" customHeight="1" s="39">
      <c r="A594" s="34" t="n"/>
      <c r="B594" s="33" t="n"/>
      <c r="C594" s="33" t="n"/>
      <c r="D594" s="32" t="n"/>
      <c r="E594" s="33" t="n"/>
      <c r="F594" s="33" t="n"/>
      <c r="G594" s="10" t="n"/>
    </row>
    <row r="595" ht="15.75" customHeight="1" s="39">
      <c r="A595" s="34" t="n"/>
      <c r="B595" s="33" t="n"/>
      <c r="C595" s="33" t="n"/>
      <c r="D595" s="32" t="n"/>
      <c r="E595" s="33" t="n"/>
      <c r="F595" s="33" t="n"/>
      <c r="G595" s="10" t="n"/>
    </row>
    <row r="596" ht="15.75" customHeight="1" s="39">
      <c r="A596" s="34" t="n"/>
      <c r="B596" s="33" t="n"/>
      <c r="C596" s="33" t="n"/>
      <c r="D596" s="32" t="n"/>
      <c r="E596" s="33" t="n"/>
      <c r="F596" s="33" t="n"/>
      <c r="G596" s="10" t="n"/>
    </row>
    <row r="597" ht="15.75" customHeight="1" s="39">
      <c r="A597" s="34" t="n"/>
      <c r="B597" s="33" t="n"/>
      <c r="C597" s="33" t="n"/>
      <c r="D597" s="32" t="n"/>
      <c r="E597" s="33" t="n"/>
      <c r="F597" s="33" t="n"/>
      <c r="G597" s="10" t="n"/>
    </row>
    <row r="598" ht="15.75" customHeight="1" s="39">
      <c r="A598" s="34" t="n"/>
      <c r="B598" s="33" t="n"/>
      <c r="C598" s="33" t="n"/>
      <c r="D598" s="32" t="n"/>
      <c r="E598" s="33" t="n"/>
      <c r="F598" s="33" t="n"/>
      <c r="G598" s="10" t="n"/>
    </row>
    <row r="599" ht="15.75" customHeight="1" s="39">
      <c r="A599" s="34" t="n"/>
      <c r="B599" s="33" t="n"/>
      <c r="C599" s="33" t="n"/>
      <c r="D599" s="32" t="n"/>
      <c r="E599" s="33" t="n"/>
      <c r="F599" s="33" t="n"/>
      <c r="G599" s="10" t="n"/>
    </row>
    <row r="600" ht="15.75" customHeight="1" s="39">
      <c r="A600" s="34" t="n"/>
      <c r="B600" s="33" t="n"/>
      <c r="C600" s="33" t="n"/>
      <c r="D600" s="32" t="n"/>
      <c r="E600" s="33" t="n"/>
      <c r="F600" s="33" t="n"/>
      <c r="G600" s="10" t="n"/>
    </row>
    <row r="601" ht="15.75" customHeight="1" s="39">
      <c r="A601" s="34" t="n"/>
      <c r="B601" s="33" t="n"/>
      <c r="C601" s="33" t="n"/>
      <c r="D601" s="32" t="n"/>
      <c r="E601" s="33" t="n"/>
      <c r="F601" s="33" t="n"/>
      <c r="G601" s="10" t="n"/>
    </row>
    <row r="602" ht="15.75" customHeight="1" s="39">
      <c r="A602" s="34" t="n"/>
      <c r="B602" s="33" t="n"/>
      <c r="C602" s="33" t="n"/>
      <c r="D602" s="32" t="n"/>
      <c r="E602" s="33" t="n"/>
      <c r="F602" s="33" t="n"/>
      <c r="G602" s="10" t="n"/>
    </row>
    <row r="603" ht="15.75" customHeight="1" s="39">
      <c r="A603" s="34" t="n"/>
      <c r="B603" s="33" t="n"/>
      <c r="C603" s="33" t="n"/>
      <c r="D603" s="32" t="n"/>
      <c r="E603" s="33" t="n"/>
      <c r="F603" s="33" t="n"/>
      <c r="G603" s="10" t="n"/>
    </row>
    <row r="604" ht="15.75" customHeight="1" s="39">
      <c r="A604" s="34" t="n"/>
      <c r="B604" s="33" t="n"/>
      <c r="C604" s="33" t="n"/>
      <c r="D604" s="32" t="n"/>
      <c r="E604" s="33" t="n"/>
      <c r="F604" s="33" t="n"/>
      <c r="G604" s="10" t="n"/>
    </row>
    <row r="605" ht="15.75" customHeight="1" s="39">
      <c r="A605" s="34" t="n"/>
      <c r="B605" s="33" t="n"/>
      <c r="C605" s="33" t="n"/>
      <c r="D605" s="32" t="n"/>
      <c r="E605" s="33" t="n"/>
      <c r="F605" s="33" t="n"/>
      <c r="G605" s="10" t="n"/>
    </row>
    <row r="606" ht="15.75" customHeight="1" s="39">
      <c r="A606" s="34" t="n"/>
      <c r="B606" s="33" t="n"/>
      <c r="C606" s="33" t="n"/>
      <c r="D606" s="32" t="n"/>
      <c r="E606" s="33" t="n"/>
      <c r="F606" s="33" t="n"/>
      <c r="G606" s="10" t="n"/>
    </row>
    <row r="607" ht="15.75" customHeight="1" s="39">
      <c r="A607" s="34" t="n"/>
      <c r="B607" s="33" t="n"/>
      <c r="C607" s="33" t="n"/>
      <c r="D607" s="32" t="n"/>
      <c r="E607" s="33" t="n"/>
      <c r="F607" s="33" t="n"/>
      <c r="G607" s="10" t="n"/>
    </row>
    <row r="608" ht="15.75" customHeight="1" s="39">
      <c r="A608" s="34" t="n"/>
      <c r="B608" s="33" t="n"/>
      <c r="C608" s="33" t="n"/>
      <c r="D608" s="32" t="n"/>
      <c r="E608" s="33" t="n"/>
      <c r="F608" s="33" t="n"/>
      <c r="G608" s="10" t="n"/>
    </row>
    <row r="609" ht="15.75" customHeight="1" s="39">
      <c r="A609" s="34" t="n"/>
      <c r="B609" s="33" t="n"/>
      <c r="C609" s="33" t="n"/>
      <c r="D609" s="32" t="n"/>
      <c r="E609" s="33" t="n"/>
      <c r="F609" s="33" t="n"/>
      <c r="G609" s="10" t="n"/>
    </row>
    <row r="610" ht="15.75" customHeight="1" s="39">
      <c r="A610" s="34" t="n"/>
      <c r="B610" s="33" t="n"/>
      <c r="C610" s="33" t="n"/>
      <c r="D610" s="32" t="n"/>
      <c r="E610" s="33" t="n"/>
      <c r="F610" s="33" t="n"/>
      <c r="G610" s="10" t="n"/>
    </row>
    <row r="611" ht="15.75" customHeight="1" s="39">
      <c r="A611" s="34" t="n"/>
      <c r="B611" s="33" t="n"/>
      <c r="C611" s="33" t="n"/>
      <c r="D611" s="32" t="n"/>
      <c r="E611" s="33" t="n"/>
      <c r="F611" s="33" t="n"/>
      <c r="G611" s="10" t="n"/>
    </row>
    <row r="612" ht="15.75" customHeight="1" s="39">
      <c r="A612" s="34" t="n"/>
      <c r="B612" s="33" t="n"/>
      <c r="C612" s="33" t="n"/>
      <c r="D612" s="32" t="n"/>
      <c r="E612" s="33" t="n"/>
      <c r="F612" s="33" t="n"/>
      <c r="G612" s="10" t="n"/>
    </row>
    <row r="613" ht="15.75" customHeight="1" s="39">
      <c r="A613" s="34" t="n"/>
      <c r="B613" s="33" t="n"/>
      <c r="C613" s="33" t="n"/>
      <c r="D613" s="32" t="n"/>
      <c r="E613" s="33" t="n"/>
      <c r="F613" s="33" t="n"/>
      <c r="G613" s="10" t="n"/>
    </row>
    <row r="614" ht="15.75" customHeight="1" s="39">
      <c r="A614" s="34" t="n"/>
      <c r="B614" s="33" t="n"/>
      <c r="C614" s="33" t="n"/>
      <c r="D614" s="32" t="n"/>
      <c r="E614" s="33" t="n"/>
      <c r="F614" s="33" t="n"/>
      <c r="G614" s="10" t="n"/>
    </row>
    <row r="615" ht="15.75" customHeight="1" s="39">
      <c r="A615" s="34" t="n"/>
      <c r="B615" s="33" t="n"/>
      <c r="C615" s="33" t="n"/>
      <c r="D615" s="32" t="n"/>
      <c r="E615" s="33" t="n"/>
      <c r="F615" s="33" t="n"/>
      <c r="G615" s="10" t="n"/>
    </row>
    <row r="616" ht="15.75" customHeight="1" s="39">
      <c r="A616" s="34" t="n"/>
      <c r="B616" s="33" t="n"/>
      <c r="C616" s="33" t="n"/>
      <c r="D616" s="32" t="n"/>
      <c r="E616" s="33" t="n"/>
      <c r="F616" s="33" t="n"/>
      <c r="G616" s="10" t="n"/>
    </row>
    <row r="617" ht="15.75" customHeight="1" s="39">
      <c r="A617" s="34" t="n"/>
      <c r="B617" s="33" t="n"/>
      <c r="C617" s="33" t="n"/>
      <c r="D617" s="32" t="n"/>
      <c r="E617" s="33" t="n"/>
      <c r="F617" s="33" t="n"/>
      <c r="G617" s="10" t="n"/>
    </row>
    <row r="618" ht="15.75" customHeight="1" s="39">
      <c r="A618" s="34" t="n"/>
      <c r="B618" s="33" t="n"/>
      <c r="C618" s="33" t="n"/>
      <c r="D618" s="32" t="n"/>
      <c r="E618" s="33" t="n"/>
      <c r="F618" s="33" t="n"/>
      <c r="G618" s="10" t="n"/>
    </row>
    <row r="619" ht="15.75" customHeight="1" s="39">
      <c r="A619" s="34" t="n"/>
      <c r="B619" s="33" t="n"/>
      <c r="C619" s="33" t="n"/>
      <c r="D619" s="32" t="n"/>
      <c r="E619" s="33" t="n"/>
      <c r="F619" s="33" t="n"/>
      <c r="G619" s="10" t="n"/>
    </row>
    <row r="620" ht="15.75" customHeight="1" s="39">
      <c r="A620" s="34" t="n"/>
      <c r="B620" s="33" t="n"/>
      <c r="C620" s="33" t="n"/>
      <c r="D620" s="32" t="n"/>
      <c r="E620" s="33" t="n"/>
      <c r="F620" s="33" t="n"/>
      <c r="G620" s="10" t="n"/>
    </row>
    <row r="621" ht="15.75" customHeight="1" s="39">
      <c r="A621" s="34" t="n"/>
      <c r="B621" s="33" t="n"/>
      <c r="C621" s="33" t="n"/>
      <c r="D621" s="32" t="n"/>
      <c r="E621" s="33" t="n"/>
      <c r="F621" s="33" t="n"/>
      <c r="G621" s="10" t="n"/>
    </row>
    <row r="622" ht="15.75" customHeight="1" s="39">
      <c r="A622" s="34" t="n"/>
      <c r="B622" s="33" t="n"/>
      <c r="C622" s="33" t="n"/>
      <c r="D622" s="32" t="n"/>
      <c r="E622" s="33" t="n"/>
      <c r="F622" s="33" t="n"/>
      <c r="G622" s="10" t="n"/>
    </row>
    <row r="623" ht="15.75" customHeight="1" s="39">
      <c r="A623" s="34" t="n"/>
      <c r="B623" s="33" t="n"/>
      <c r="C623" s="33" t="n"/>
      <c r="D623" s="32" t="n"/>
      <c r="E623" s="33" t="n"/>
      <c r="F623" s="33" t="n"/>
      <c r="G623" s="10" t="n"/>
    </row>
    <row r="624" ht="15.75" customHeight="1" s="39">
      <c r="A624" s="34" t="n"/>
      <c r="B624" s="33" t="n"/>
      <c r="C624" s="33" t="n"/>
      <c r="D624" s="32" t="n"/>
      <c r="E624" s="33" t="n"/>
      <c r="F624" s="33" t="n"/>
      <c r="G624" s="10" t="n"/>
    </row>
    <row r="625" ht="15.75" customHeight="1" s="39">
      <c r="A625" s="34" t="n"/>
      <c r="B625" s="33" t="n"/>
      <c r="C625" s="33" t="n"/>
      <c r="D625" s="32" t="n"/>
      <c r="E625" s="33" t="n"/>
      <c r="F625" s="33" t="n"/>
      <c r="G625" s="10" t="n"/>
    </row>
    <row r="626" ht="15.75" customHeight="1" s="39">
      <c r="A626" s="34" t="n"/>
      <c r="B626" s="33" t="n"/>
      <c r="C626" s="33" t="n"/>
      <c r="D626" s="32" t="n"/>
      <c r="E626" s="33" t="n"/>
      <c r="F626" s="33" t="n"/>
      <c r="G626" s="10" t="n"/>
    </row>
    <row r="627" ht="15.75" customHeight="1" s="39">
      <c r="A627" s="34" t="n"/>
      <c r="B627" s="33" t="n"/>
      <c r="C627" s="33" t="n"/>
      <c r="D627" s="32" t="n"/>
      <c r="E627" s="33" t="n"/>
      <c r="F627" s="33" t="n"/>
      <c r="G627" s="10" t="n"/>
    </row>
    <row r="628" ht="15.75" customHeight="1" s="39">
      <c r="A628" s="34" t="n"/>
      <c r="B628" s="33" t="n"/>
      <c r="C628" s="33" t="n"/>
      <c r="D628" s="32" t="n"/>
      <c r="E628" s="33" t="n"/>
      <c r="F628" s="33" t="n"/>
      <c r="G628" s="10" t="n"/>
    </row>
    <row r="629" ht="15.75" customHeight="1" s="39">
      <c r="A629" s="34" t="n"/>
      <c r="B629" s="33" t="n"/>
      <c r="C629" s="33" t="n"/>
      <c r="D629" s="32" t="n"/>
      <c r="E629" s="33" t="n"/>
      <c r="F629" s="33" t="n"/>
      <c r="G629" s="10" t="n"/>
    </row>
    <row r="630" ht="15.75" customHeight="1" s="39">
      <c r="A630" s="34" t="n"/>
      <c r="B630" s="33" t="n"/>
      <c r="C630" s="33" t="n"/>
      <c r="D630" s="32" t="n"/>
      <c r="E630" s="33" t="n"/>
      <c r="F630" s="33" t="n"/>
      <c r="G630" s="10" t="n"/>
    </row>
    <row r="631" ht="15.75" customHeight="1" s="39">
      <c r="A631" s="34" t="n"/>
      <c r="B631" s="33" t="n"/>
      <c r="C631" s="33" t="n"/>
      <c r="D631" s="32" t="n"/>
      <c r="E631" s="33" t="n"/>
      <c r="F631" s="33" t="n"/>
      <c r="G631" s="10" t="n"/>
    </row>
    <row r="632" ht="15.75" customHeight="1" s="39">
      <c r="A632" s="34" t="n"/>
      <c r="B632" s="33" t="n"/>
      <c r="C632" s="33" t="n"/>
      <c r="D632" s="32" t="n"/>
      <c r="E632" s="33" t="n"/>
      <c r="F632" s="33" t="n"/>
      <c r="G632" s="10" t="n"/>
    </row>
    <row r="633" ht="15.75" customHeight="1" s="39">
      <c r="A633" s="34" t="n"/>
      <c r="B633" s="33" t="n"/>
      <c r="C633" s="33" t="n"/>
      <c r="D633" s="32" t="n"/>
      <c r="E633" s="33" t="n"/>
      <c r="F633" s="33" t="n"/>
      <c r="G633" s="10" t="n"/>
    </row>
    <row r="634" ht="15.75" customHeight="1" s="39">
      <c r="A634" s="34" t="n"/>
      <c r="B634" s="33" t="n"/>
      <c r="C634" s="33" t="n"/>
      <c r="D634" s="32" t="n"/>
      <c r="E634" s="33" t="n"/>
      <c r="F634" s="33" t="n"/>
      <c r="G634" s="10" t="n"/>
    </row>
    <row r="635" ht="15.75" customHeight="1" s="39">
      <c r="A635" s="34" t="n"/>
      <c r="B635" s="33" t="n"/>
      <c r="C635" s="33" t="n"/>
      <c r="D635" s="32" t="n"/>
      <c r="E635" s="33" t="n"/>
      <c r="F635" s="33" t="n"/>
      <c r="G635" s="10" t="n"/>
    </row>
    <row r="636" ht="15.75" customHeight="1" s="39">
      <c r="A636" s="34" t="n"/>
      <c r="B636" s="33" t="n"/>
      <c r="C636" s="33" t="n"/>
      <c r="D636" s="32" t="n"/>
      <c r="E636" s="33" t="n"/>
      <c r="F636" s="33" t="n"/>
      <c r="G636" s="10" t="n"/>
    </row>
    <row r="637" ht="15.75" customHeight="1" s="39">
      <c r="A637" s="34" t="n"/>
      <c r="B637" s="33" t="n"/>
      <c r="C637" s="33" t="n"/>
      <c r="D637" s="32" t="n"/>
      <c r="E637" s="33" t="n"/>
      <c r="F637" s="33" t="n"/>
      <c r="G637" s="10" t="n"/>
    </row>
    <row r="638" ht="15.75" customHeight="1" s="39">
      <c r="A638" s="34" t="n"/>
      <c r="B638" s="33" t="n"/>
      <c r="C638" s="33" t="n"/>
      <c r="D638" s="32" t="n"/>
      <c r="E638" s="33" t="n"/>
      <c r="F638" s="33" t="n"/>
      <c r="G638" s="10" t="n"/>
    </row>
    <row r="639" ht="15.75" customHeight="1" s="39">
      <c r="A639" s="34" t="n"/>
      <c r="B639" s="33" t="n"/>
      <c r="C639" s="33" t="n"/>
      <c r="D639" s="32" t="n"/>
      <c r="E639" s="33" t="n"/>
      <c r="F639" s="33" t="n"/>
      <c r="G639" s="10" t="n"/>
    </row>
    <row r="640" ht="15.75" customHeight="1" s="39">
      <c r="A640" s="34" t="n"/>
      <c r="B640" s="33" t="n"/>
      <c r="C640" s="33" t="n"/>
      <c r="D640" s="32" t="n"/>
      <c r="E640" s="33" t="n"/>
      <c r="F640" s="33" t="n"/>
      <c r="G640" s="10" t="n"/>
    </row>
    <row r="641" ht="15.75" customHeight="1" s="39">
      <c r="A641" s="34" t="n"/>
      <c r="B641" s="33" t="n"/>
      <c r="C641" s="33" t="n"/>
      <c r="D641" s="32" t="n"/>
      <c r="E641" s="33" t="n"/>
      <c r="F641" s="33" t="n"/>
      <c r="G641" s="10" t="n"/>
    </row>
    <row r="642" ht="15.75" customHeight="1" s="39">
      <c r="A642" s="36" t="n"/>
      <c r="B642" s="33" t="n"/>
      <c r="C642" s="33" t="n"/>
      <c r="D642" s="32" t="n"/>
      <c r="E642" s="33" t="n"/>
      <c r="F642" s="33" t="n"/>
    </row>
    <row r="643" ht="15.75" customHeight="1" s="39">
      <c r="A643" s="36" t="n"/>
      <c r="B643" s="33" t="n"/>
      <c r="C643" s="33" t="n"/>
      <c r="D643" s="32" t="n"/>
      <c r="E643" s="33" t="n"/>
      <c r="F643" s="33" t="n"/>
    </row>
    <row r="644" ht="15.75" customHeight="1" s="39">
      <c r="A644" s="36" t="n"/>
      <c r="B644" s="33" t="n"/>
      <c r="C644" s="33" t="n"/>
      <c r="D644" s="32" t="n"/>
      <c r="E644" s="33" t="n"/>
      <c r="F644" s="33" t="n"/>
    </row>
    <row r="645" ht="15.75" customHeight="1" s="39">
      <c r="A645" s="36" t="n"/>
      <c r="B645" s="33" t="n"/>
      <c r="C645" s="33" t="n"/>
      <c r="D645" s="32" t="n"/>
      <c r="E645" s="33" t="n"/>
      <c r="F645" s="33" t="n"/>
    </row>
    <row r="646" ht="15.75" customHeight="1" s="39">
      <c r="A646" s="36" t="n"/>
      <c r="B646" s="33" t="n"/>
      <c r="C646" s="33" t="n"/>
      <c r="D646" s="32" t="n"/>
      <c r="E646" s="33" t="n"/>
      <c r="F646" s="33" t="n"/>
    </row>
    <row r="647" ht="15.75" customHeight="1" s="39"/>
    <row r="648" ht="15.75" customHeight="1" s="39"/>
    <row r="649" ht="15.75" customHeight="1" s="39"/>
    <row r="650" ht="15.75" customHeight="1" s="39"/>
    <row r="651" ht="15.75" customHeight="1" s="39"/>
    <row r="652" ht="15.75" customHeight="1" s="39"/>
    <row r="653" ht="15.75" customHeight="1" s="39"/>
    <row r="654" ht="15.75" customHeight="1" s="39"/>
    <row r="655" ht="15.75" customHeight="1" s="39"/>
    <row r="656" ht="15.75" customHeight="1" s="39"/>
    <row r="657" ht="15.75" customHeight="1" s="39"/>
    <row r="658" ht="15.75" customHeight="1" s="39"/>
    <row r="659" ht="15.75" customHeight="1" s="39"/>
    <row r="660" ht="15.75" customHeight="1" s="39"/>
    <row r="661" ht="15.75" customHeight="1" s="39"/>
    <row r="662" ht="15.75" customHeight="1" s="39"/>
    <row r="663" ht="15.75" customHeight="1" s="39"/>
    <row r="664" ht="15.75" customHeight="1" s="39"/>
    <row r="665" ht="15.75" customHeight="1" s="39"/>
    <row r="666" ht="15.75" customHeight="1" s="39"/>
    <row r="667" ht="15.75" customHeight="1" s="39"/>
    <row r="668" ht="15.75" customHeight="1" s="39"/>
    <row r="669" ht="15.75" customHeight="1" s="39"/>
    <row r="670" ht="15.75" customHeight="1" s="39"/>
    <row r="671" ht="15.75" customHeight="1" s="39"/>
    <row r="672" ht="15.75" customHeight="1" s="39"/>
    <row r="673" ht="15.75" customHeight="1" s="39"/>
    <row r="674" ht="15.75" customHeight="1" s="39"/>
    <row r="675" ht="15.75" customHeight="1" s="39"/>
    <row r="676" ht="15.75" customHeight="1" s="39"/>
    <row r="677" ht="15.75" customHeight="1" s="39"/>
    <row r="678" ht="15.75" customHeight="1" s="39"/>
    <row r="679" ht="15.75" customHeight="1" s="39"/>
    <row r="680" ht="15.75" customHeight="1" s="39"/>
    <row r="681" ht="15.75" customHeight="1" s="39"/>
    <row r="682" ht="15.75" customHeight="1" s="39"/>
    <row r="683" ht="15.75" customHeight="1" s="39"/>
    <row r="684" ht="15.75" customHeight="1" s="39"/>
    <row r="685" ht="15.75" customHeight="1" s="39"/>
    <row r="686" ht="15.75" customHeight="1" s="39"/>
    <row r="687" ht="15.75" customHeight="1" s="39"/>
    <row r="688" ht="15.75" customHeight="1" s="39"/>
    <row r="689" ht="15.75" customHeight="1" s="39"/>
    <row r="690" ht="15.75" customHeight="1" s="39"/>
    <row r="691" ht="15.75" customHeight="1" s="39"/>
    <row r="692" ht="15.75" customHeight="1" s="39"/>
    <row r="693" ht="15.75" customHeight="1" s="39"/>
    <row r="694" ht="15.75" customHeight="1" s="39"/>
    <row r="695" ht="15.75" customHeight="1" s="39"/>
    <row r="696" ht="15.75" customHeight="1" s="39"/>
    <row r="697" ht="15.75" customHeight="1" s="39"/>
    <row r="698" ht="15.75" customHeight="1" s="39"/>
    <row r="699" ht="15.75" customHeight="1" s="39"/>
    <row r="700" ht="15.75" customHeight="1" s="39"/>
    <row r="701" ht="15.75" customHeight="1" s="39"/>
    <row r="702" ht="15.75" customHeight="1" s="39"/>
    <row r="703" ht="15.75" customHeight="1" s="39"/>
    <row r="704" ht="15.75" customHeight="1" s="39"/>
    <row r="705" ht="15.75" customHeight="1" s="39"/>
    <row r="706" ht="15.75" customHeight="1" s="39"/>
    <row r="707" ht="15.75" customHeight="1" s="39"/>
    <row r="708" ht="15.75" customHeight="1" s="39"/>
    <row r="709" ht="15.75" customHeight="1" s="39"/>
    <row r="710" ht="15.75" customHeight="1" s="39"/>
    <row r="711" ht="15.75" customHeight="1" s="39"/>
    <row r="712" ht="15.75" customHeight="1" s="39"/>
    <row r="713" ht="15.75" customHeight="1" s="39"/>
    <row r="714" ht="15.75" customHeight="1" s="39"/>
    <row r="715" ht="15.75" customHeight="1" s="39"/>
    <row r="716" ht="15.75" customHeight="1" s="39"/>
    <row r="717" ht="15.75" customHeight="1" s="39"/>
    <row r="718" ht="15.75" customHeight="1" s="39"/>
    <row r="719" ht="15.75" customHeight="1" s="39"/>
    <row r="720" ht="15.75" customHeight="1" s="39"/>
    <row r="721" ht="15.75" customHeight="1" s="39"/>
    <row r="722" ht="15.75" customHeight="1" s="39"/>
    <row r="723" ht="15.75" customHeight="1" s="39"/>
    <row r="724" ht="15.75" customHeight="1" s="39"/>
    <row r="725" ht="15.75" customHeight="1" s="39"/>
    <row r="726" ht="15.75" customHeight="1" s="39"/>
    <row r="727" ht="15.75" customHeight="1" s="39"/>
    <row r="728" ht="15.75" customHeight="1" s="39"/>
    <row r="729" ht="15.75" customHeight="1" s="39"/>
    <row r="730" ht="15.75" customHeight="1" s="39"/>
    <row r="731" ht="15.75" customHeight="1" s="39"/>
    <row r="732" ht="15.75" customHeight="1" s="39"/>
    <row r="733" ht="15.75" customHeight="1" s="39"/>
    <row r="734" ht="15.75" customHeight="1" s="39"/>
    <row r="735" ht="15.75" customHeight="1" s="39"/>
    <row r="736" ht="15.75" customHeight="1" s="39"/>
    <row r="737" ht="15.75" customHeight="1" s="39"/>
    <row r="738" ht="15.75" customHeight="1" s="39"/>
    <row r="739" ht="15.75" customHeight="1" s="39"/>
    <row r="740" ht="15.75" customHeight="1" s="39"/>
    <row r="741" ht="15.75" customHeight="1" s="39"/>
    <row r="742" ht="15.75" customHeight="1" s="39"/>
    <row r="743" ht="15.75" customHeight="1" s="39"/>
    <row r="744" ht="15.75" customHeight="1" s="39"/>
    <row r="745" ht="15.75" customHeight="1" s="39"/>
    <row r="746" ht="15.75" customHeight="1" s="39"/>
    <row r="747" ht="15.75" customHeight="1" s="39"/>
    <row r="748" ht="15.75" customHeight="1" s="39"/>
    <row r="749" ht="15.75" customHeight="1" s="39"/>
    <row r="750" ht="15.75" customHeight="1" s="39"/>
    <row r="751" ht="15.75" customHeight="1" s="39"/>
    <row r="752" ht="15.75" customHeight="1" s="39"/>
    <row r="753" ht="15.75" customHeight="1" s="39"/>
    <row r="754" ht="15.75" customHeight="1" s="39"/>
    <row r="755" ht="15.75" customHeight="1" s="39"/>
    <row r="756" ht="15.75" customHeight="1" s="39"/>
    <row r="757" ht="15.75" customHeight="1" s="39"/>
    <row r="758" ht="15.75" customHeight="1" s="39"/>
    <row r="759" ht="15.75" customHeight="1" s="39"/>
    <row r="760" ht="15.75" customHeight="1" s="39"/>
    <row r="761" ht="15.75" customHeight="1" s="39"/>
    <row r="762" ht="15.75" customHeight="1" s="39"/>
    <row r="763" ht="15.75" customHeight="1" s="39"/>
    <row r="764" ht="15.75" customHeight="1" s="39"/>
    <row r="765" ht="15.75" customHeight="1" s="39"/>
    <row r="766" ht="15.75" customHeight="1" s="39"/>
    <row r="767" ht="15.75" customHeight="1" s="39"/>
    <row r="768" ht="15.75" customHeight="1" s="39"/>
    <row r="769" ht="15.75" customHeight="1" s="39"/>
    <row r="770" ht="15.75" customHeight="1" s="39"/>
    <row r="771" ht="15.75" customHeight="1" s="39"/>
    <row r="772" ht="15.75" customHeight="1" s="39"/>
    <row r="773" ht="15.75" customHeight="1" s="39"/>
    <row r="774" ht="15.75" customHeight="1" s="39"/>
    <row r="775" ht="15.75" customHeight="1" s="39"/>
    <row r="776" ht="15.75" customHeight="1" s="39"/>
    <row r="777" ht="15.75" customHeight="1" s="39"/>
    <row r="778" ht="15.75" customHeight="1" s="39"/>
    <row r="779" ht="15.75" customHeight="1" s="39"/>
    <row r="780" ht="15.75" customHeight="1" s="39"/>
    <row r="781" ht="15.75" customHeight="1" s="39"/>
    <row r="782" ht="15.75" customHeight="1" s="39"/>
    <row r="783" ht="15.75" customHeight="1" s="39"/>
    <row r="784" ht="15.75" customHeight="1" s="39"/>
    <row r="785" ht="15.75" customHeight="1" s="39"/>
    <row r="786" ht="15.75" customHeight="1" s="39"/>
    <row r="787" ht="15.75" customHeight="1" s="39"/>
    <row r="788" ht="15.75" customHeight="1" s="39"/>
    <row r="789" ht="15.75" customHeight="1" s="39"/>
    <row r="790" ht="15.75" customHeight="1" s="39"/>
    <row r="791" ht="15.75" customHeight="1" s="39"/>
    <row r="792" ht="15.75" customHeight="1" s="39"/>
    <row r="793" ht="15.75" customHeight="1" s="39"/>
    <row r="794" ht="15.75" customHeight="1" s="39"/>
    <row r="795" ht="15.75" customHeight="1" s="39"/>
    <row r="796" ht="15.75" customHeight="1" s="39"/>
    <row r="797" ht="15.75" customHeight="1" s="39"/>
    <row r="798" ht="15.75" customHeight="1" s="39"/>
    <row r="799" ht="15.75" customHeight="1" s="39"/>
    <row r="800" ht="15.75" customHeight="1" s="39"/>
    <row r="801" ht="15.75" customHeight="1" s="39"/>
    <row r="802" ht="15.75" customHeight="1" s="39"/>
    <row r="803" ht="15.75" customHeight="1" s="39"/>
    <row r="804" ht="15.75" customHeight="1" s="39"/>
    <row r="805" ht="15.75" customHeight="1" s="39"/>
    <row r="806" ht="15.75" customHeight="1" s="39"/>
    <row r="807" ht="15.75" customHeight="1" s="39"/>
    <row r="808" ht="15.75" customHeight="1" s="39"/>
    <row r="809" ht="15.75" customHeight="1" s="39"/>
    <row r="810" ht="15.75" customHeight="1" s="39"/>
    <row r="811" ht="15.75" customHeight="1" s="39"/>
    <row r="812" ht="15.75" customHeight="1" s="39"/>
    <row r="813" ht="15.75" customHeight="1" s="39"/>
    <row r="814" ht="15.75" customHeight="1" s="39"/>
    <row r="815" ht="15.75" customHeight="1" s="39"/>
    <row r="816" ht="15.75" customHeight="1" s="39"/>
    <row r="817" ht="15.75" customHeight="1" s="39"/>
    <row r="818" ht="15.75" customHeight="1" s="39"/>
    <row r="819" ht="15.75" customHeight="1" s="39"/>
    <row r="820" ht="15.75" customHeight="1" s="39"/>
    <row r="821" ht="15.75" customHeight="1" s="39"/>
    <row r="822" ht="15.75" customHeight="1" s="39"/>
    <row r="823" ht="15.75" customHeight="1" s="39"/>
    <row r="824" ht="15.75" customHeight="1" s="39"/>
    <row r="825" ht="15.75" customHeight="1" s="39"/>
    <row r="826" ht="15.75" customHeight="1" s="39"/>
    <row r="827" ht="15.75" customHeight="1" s="39"/>
    <row r="828" ht="15.75" customHeight="1" s="39"/>
    <row r="829" ht="15.75" customHeight="1" s="39"/>
    <row r="830" ht="15.75" customHeight="1" s="39"/>
    <row r="831" ht="15.75" customHeight="1" s="39"/>
    <row r="832" ht="15.75" customHeight="1" s="39"/>
    <row r="833" ht="15.75" customHeight="1" s="39"/>
    <row r="834" ht="15.75" customHeight="1" s="39"/>
    <row r="835" ht="15.75" customHeight="1" s="39"/>
    <row r="836" ht="15.75" customHeight="1" s="39"/>
    <row r="837" ht="15.75" customHeight="1" s="39"/>
    <row r="838" ht="15.75" customHeight="1" s="39"/>
    <row r="839" ht="15.75" customHeight="1" s="39"/>
    <row r="840" ht="15.75" customHeight="1" s="39"/>
    <row r="841" ht="15.75" customHeight="1" s="39"/>
    <row r="842" ht="15.75" customHeight="1" s="39"/>
    <row r="843" ht="15.75" customHeight="1" s="39"/>
    <row r="844" ht="15.75" customHeight="1" s="39"/>
    <row r="845" ht="15.75" customHeight="1" s="39"/>
    <row r="846" ht="15.75" customHeight="1" s="39"/>
    <row r="847" ht="15.75" customHeight="1" s="39"/>
    <row r="848" ht="15.75" customHeight="1" s="39"/>
    <row r="849" ht="15.75" customHeight="1" s="39"/>
    <row r="850" ht="15.75" customHeight="1" s="39"/>
    <row r="851" ht="15.75" customHeight="1" s="39"/>
    <row r="852" ht="15.75" customHeight="1" s="39"/>
    <row r="853" ht="15.75" customHeight="1" s="39"/>
    <row r="854" ht="15.75" customHeight="1" s="39"/>
    <row r="855" ht="15.75" customHeight="1" s="39"/>
    <row r="856" ht="15.75" customHeight="1" s="39"/>
    <row r="857" ht="15.75" customHeight="1" s="39"/>
    <row r="858" ht="15.75" customHeight="1" s="39"/>
    <row r="859" ht="15.75" customHeight="1" s="39"/>
    <row r="860" ht="15.75" customHeight="1" s="39"/>
    <row r="861" ht="15.75" customHeight="1" s="39"/>
    <row r="862" ht="15.75" customHeight="1" s="39"/>
    <row r="863" ht="15.75" customHeight="1" s="39"/>
    <row r="864" ht="15.75" customHeight="1" s="39"/>
    <row r="865" ht="15.75" customHeight="1" s="39"/>
    <row r="866" ht="15.75" customHeight="1" s="39"/>
    <row r="867" ht="15.75" customHeight="1" s="39"/>
    <row r="868" ht="15.75" customHeight="1" s="39"/>
    <row r="869" ht="15.75" customHeight="1" s="39"/>
    <row r="870" ht="15.75" customHeight="1" s="39"/>
    <row r="871" ht="15.75" customHeight="1" s="39"/>
    <row r="872" ht="15.75" customHeight="1" s="39"/>
    <row r="873" ht="15.75" customHeight="1" s="39"/>
    <row r="874" ht="15.75" customHeight="1" s="39"/>
    <row r="875" ht="15.75" customHeight="1" s="39"/>
    <row r="876" ht="15.75" customHeight="1" s="39"/>
    <row r="877" ht="15.75" customHeight="1" s="39"/>
    <row r="878" ht="15.75" customHeight="1" s="39"/>
    <row r="879" ht="15.75" customHeight="1" s="39"/>
    <row r="880" ht="15.75" customHeight="1" s="39"/>
    <row r="881" ht="15.75" customHeight="1" s="39"/>
    <row r="882" ht="15.75" customHeight="1" s="39"/>
    <row r="883" ht="15.75" customHeight="1" s="39"/>
    <row r="884" ht="15.75" customHeight="1" s="39"/>
    <row r="885" ht="15.75" customHeight="1" s="39"/>
    <row r="886" ht="15.75" customHeight="1" s="39"/>
    <row r="887" ht="15.75" customHeight="1" s="39"/>
    <row r="888" ht="15.75" customHeight="1" s="39"/>
    <row r="889" ht="15.75" customHeight="1" s="39"/>
    <row r="890" ht="15.75" customHeight="1" s="39"/>
    <row r="891" ht="15.75" customHeight="1" s="39"/>
    <row r="892" ht="15.75" customHeight="1" s="39"/>
    <row r="893" ht="15.75" customHeight="1" s="39"/>
    <row r="894" ht="15.75" customHeight="1" s="39"/>
    <row r="895" ht="15.75" customHeight="1" s="39"/>
    <row r="896" ht="15.75" customHeight="1" s="39"/>
    <row r="897" ht="15.75" customHeight="1" s="39"/>
    <row r="898" ht="15.75" customHeight="1" s="39"/>
    <row r="899" ht="15.75" customHeight="1" s="39"/>
    <row r="900" ht="15.75" customHeight="1" s="39"/>
    <row r="901" ht="15.75" customHeight="1" s="39"/>
    <row r="902" ht="15.75" customHeight="1" s="39"/>
    <row r="903" ht="15.75" customHeight="1" s="39"/>
    <row r="904" ht="15.75" customHeight="1" s="39"/>
    <row r="905" ht="15.75" customHeight="1" s="39"/>
    <row r="906" ht="15.75" customHeight="1" s="39"/>
    <row r="907" ht="15.75" customHeight="1" s="39"/>
    <row r="908" ht="15.75" customHeight="1" s="39"/>
    <row r="909" ht="15.75" customHeight="1" s="39"/>
    <row r="910" ht="15.75" customHeight="1" s="39"/>
    <row r="911" ht="15.75" customHeight="1" s="39"/>
    <row r="912" ht="15.75" customHeight="1" s="39"/>
    <row r="913" ht="15.75" customHeight="1" s="39"/>
    <row r="914" ht="15.75" customHeight="1" s="39"/>
    <row r="915" ht="15.75" customHeight="1" s="39"/>
    <row r="916" ht="15.75" customHeight="1" s="39"/>
    <row r="917" ht="15.75" customHeight="1" s="39"/>
    <row r="918" ht="15.75" customHeight="1" s="39"/>
    <row r="919" ht="15.75" customHeight="1" s="39"/>
    <row r="920" ht="15.75" customHeight="1" s="39"/>
    <row r="921" ht="15.75" customHeight="1" s="39"/>
    <row r="922" ht="15.75" customHeight="1" s="39"/>
    <row r="923" ht="15.75" customHeight="1" s="39"/>
    <row r="924" ht="15.75" customHeight="1" s="39"/>
    <row r="925" ht="15.75" customHeight="1" s="39"/>
    <row r="926" ht="15.75" customHeight="1" s="39"/>
    <row r="927" ht="15.75" customHeight="1" s="39"/>
    <row r="928" ht="15.75" customHeight="1" s="39"/>
    <row r="929" ht="15.75" customHeight="1" s="39"/>
    <row r="930" ht="15.75" customHeight="1" s="39"/>
    <row r="931" ht="15.75" customHeight="1" s="39"/>
    <row r="932" ht="15.75" customHeight="1" s="39"/>
    <row r="933" ht="15.75" customHeight="1" s="39"/>
    <row r="934" ht="15.75" customHeight="1" s="39"/>
    <row r="935" ht="15.75" customHeight="1" s="39"/>
    <row r="936" ht="15.75" customHeight="1" s="39"/>
    <row r="937" ht="15.75" customHeight="1" s="39"/>
    <row r="938" ht="15.75" customHeight="1" s="39"/>
    <row r="939" ht="15.75" customHeight="1" s="39"/>
    <row r="940" ht="15.75" customHeight="1" s="39"/>
    <row r="941" ht="15.75" customHeight="1" s="39"/>
    <row r="942" ht="15.75" customHeight="1" s="39"/>
    <row r="943" ht="15.75" customHeight="1" s="39"/>
    <row r="944" ht="15.75" customHeight="1" s="39"/>
    <row r="945" ht="15.75" customHeight="1" s="39"/>
    <row r="946" ht="15.75" customHeight="1" s="39"/>
    <row r="947" ht="15.75" customHeight="1" s="39"/>
    <row r="948" ht="15.75" customHeight="1" s="39"/>
    <row r="949" ht="15.75" customHeight="1" s="39"/>
    <row r="950" ht="15.75" customHeight="1" s="39"/>
    <row r="951" ht="15.75" customHeight="1" s="39"/>
    <row r="952" ht="15.75" customHeight="1" s="39"/>
    <row r="953" ht="15.75" customHeight="1" s="39"/>
    <row r="954" ht="15.75" customHeight="1" s="39"/>
    <row r="955" ht="15.75" customHeight="1" s="39"/>
    <row r="956" ht="15.75" customHeight="1" s="39"/>
    <row r="957" ht="15.75" customHeight="1" s="39"/>
    <row r="958" ht="15.75" customHeight="1" s="39"/>
    <row r="959" ht="15.75" customHeight="1" s="39"/>
    <row r="960" ht="15.75" customHeight="1" s="39"/>
    <row r="961" ht="15.75" customHeight="1" s="39"/>
    <row r="962" ht="15.75" customHeight="1" s="39"/>
    <row r="963" ht="15.75" customHeight="1" s="39"/>
    <row r="964" ht="15.75" customHeight="1" s="39"/>
    <row r="965" ht="15.75" customHeight="1" s="39"/>
    <row r="966" ht="15.75" customHeight="1" s="39"/>
    <row r="967" ht="15.75" customHeight="1" s="39"/>
    <row r="968" ht="15.75" customHeight="1" s="39"/>
    <row r="969" ht="15.75" customHeight="1" s="39"/>
    <row r="970" ht="15.75" customHeight="1" s="39"/>
    <row r="971" ht="15.75" customHeight="1" s="39"/>
    <row r="972" ht="15.75" customHeight="1" s="39"/>
    <row r="973" ht="15.75" customHeight="1" s="39"/>
    <row r="974" ht="15.75" customHeight="1" s="39"/>
    <row r="975" ht="15.75" customHeight="1" s="39"/>
    <row r="976" ht="15.75" customHeight="1" s="39"/>
    <row r="977" ht="15.75" customHeight="1" s="39"/>
    <row r="978" ht="15.75" customHeight="1" s="39"/>
    <row r="979" ht="15.75" customHeight="1" s="39"/>
    <row r="980" ht="15.75" customHeight="1" s="39"/>
    <row r="981" ht="15.75" customHeight="1" s="39"/>
    <row r="982" ht="15.75" customHeight="1" s="39"/>
    <row r="983" ht="15.75" customHeight="1" s="39"/>
    <row r="984" ht="15.75" customHeight="1" s="39"/>
    <row r="985" ht="15.75" customHeight="1" s="39"/>
    <row r="986" ht="15.75" customHeight="1" s="39"/>
    <row r="987" ht="15.75" customHeight="1" s="39"/>
    <row r="988" ht="15.75" customHeight="1" s="39"/>
    <row r="989" ht="15.75" customHeight="1" s="39"/>
    <row r="990" ht="15.75" customHeight="1" s="39"/>
    <row r="991" ht="15.75" customHeight="1" s="39"/>
    <row r="992" ht="15.75" customHeight="1" s="39"/>
    <row r="993" ht="15.75" customHeight="1" s="39"/>
    <row r="994" ht="15.75" customHeight="1" s="39"/>
    <row r="995" ht="15.75" customHeight="1" s="39"/>
    <row r="996" ht="15.75" customHeight="1" s="39"/>
    <row r="997" ht="15.75" customHeight="1" s="39"/>
    <row r="998" ht="15.75" customHeight="1" s="39"/>
    <row r="999" ht="15.75" customHeight="1" s="39"/>
    <row r="1000" ht="15.75" customHeight="1" s="39"/>
  </sheetData>
  <mergeCells count="1">
    <mergeCell ref="A2:G2"/>
  </mergeCells>
  <pageMargins left="0.75" right="0.75" top="1" bottom="1" header="0" footer="0"/>
  <pageSetup orientation="landscape"/>
</worksheet>
</file>

<file path=xl/worksheets/sheet12.xml><?xml version="1.0" encoding="utf-8"?>
<worksheet xmlns="http://schemas.openxmlformats.org/spreadsheetml/2006/main">
  <sheetPr>
    <outlinePr summaryBelow="1" summaryRight="1"/>
    <pageSetUpPr/>
  </sheetPr>
  <dimension ref="A1:D44"/>
  <sheetViews>
    <sheetView workbookViewId="0">
      <pane ySplit="4" topLeftCell="A5" activePane="bottomLeft" state="frozen"/>
      <selection pane="bottomLeft" activeCell="B6" sqref="B6"/>
    </sheetView>
  </sheetViews>
  <sheetFormatPr baseColWidth="8" defaultColWidth="14.43" defaultRowHeight="15" customHeight="1"/>
  <cols>
    <col width="80" customWidth="1" style="39" min="1" max="1"/>
    <col width="28" customWidth="1" style="39" min="2" max="2"/>
    <col width="50" customWidth="1" style="39" min="3" max="3"/>
    <col width="8.710000000000001" customWidth="1" style="39" min="4" max="26"/>
  </cols>
  <sheetData>
    <row r="1">
      <c r="A1" s="16" t="inlineStr">
        <is>
          <t>Categorization Rules</t>
        </is>
      </c>
    </row>
    <row r="2">
      <c r="A2" s="4" t="inlineStr">
        <is>
          <t>Edit to change merchant categorization. First match wins (top down).</t>
        </is>
      </c>
    </row>
    <row r="4">
      <c r="A4" s="5" t="inlineStr">
        <is>
          <t>Pattern (regex)</t>
        </is>
      </c>
      <c r="B4" s="5" t="inlineStr">
        <is>
          <t>Category</t>
        </is>
      </c>
      <c r="C4" s="5" t="inlineStr">
        <is>
          <t>Notes</t>
        </is>
      </c>
    </row>
    <row r="5">
      <c r="A5" s="38" t="inlineStr">
        <is>
          <t>Withdrawal to 360 Performance Savings</t>
        </is>
      </c>
      <c r="B5" s="38" t="inlineStr">
        <is>
          <t>__TRANSFER__</t>
        </is>
      </c>
      <c r="C5" s="10" t="inlineStr">
        <is>
          <t>Move $ to savings</t>
        </is>
      </c>
    </row>
    <row r="6">
      <c r="A6" s="38" t="inlineStr">
        <is>
          <t>Deposit from 360 Performance Savings</t>
        </is>
      </c>
      <c r="B6" s="38" t="inlineStr">
        <is>
          <t>__TRANSFER__</t>
        </is>
      </c>
      <c r="C6" s="10" t="inlineStr">
        <is>
          <t>Move $ from savings</t>
        </is>
      </c>
    </row>
    <row r="7">
      <c r="A7" s="38" t="inlineStr">
        <is>
          <t>Withdrawal to 360 Checking</t>
        </is>
      </c>
      <c r="B7" s="38" t="inlineStr">
        <is>
          <t>__TRANSFER__</t>
        </is>
      </c>
      <c r="C7" s="10" t="inlineStr">
        <is>
          <t>Savings → Checking</t>
        </is>
      </c>
    </row>
    <row r="8">
      <c r="A8" s="38" t="inlineStr">
        <is>
          <t>Deposit from 360 Checking</t>
        </is>
      </c>
      <c r="B8" s="38" t="inlineStr">
        <is>
          <t>__TRANSFER__</t>
        </is>
      </c>
      <c r="C8" s="10" t="inlineStr">
        <is>
          <t>Checking → Savings</t>
        </is>
      </c>
    </row>
    <row r="9">
      <c r="A9" s="38" t="inlineStr">
        <is>
          <t>BARCLAYCARD US CREDITCARD</t>
        </is>
      </c>
      <c r="B9" s="38" t="inlineStr">
        <is>
          <t>__TRANSFER__</t>
        </is>
      </c>
      <c r="C9" s="10" t="inlineStr">
        <is>
          <t>Pay Barclaycard bill</t>
        </is>
      </c>
    </row>
    <row r="10">
      <c r="A10" s="38" t="inlineStr">
        <is>
          <t>TARGET CARD SRVC PAYMENT</t>
        </is>
      </c>
      <c r="B10" s="38" t="inlineStr">
        <is>
          <t>__TRANSFER__</t>
        </is>
      </c>
      <c r="C10" s="10" t="inlineStr">
        <is>
          <t>Pay Target card bill</t>
        </is>
      </c>
    </row>
    <row r="11">
      <c r="A11" s="38" t="inlineStr">
        <is>
          <t>^Payment Received$</t>
        </is>
      </c>
      <c r="B11" s="38" t="inlineStr">
        <is>
          <t>__TRANSFER__</t>
        </is>
      </c>
      <c r="C11" s="10" t="inlineStr">
        <is>
          <t>Barclaycard side of CC payment</t>
        </is>
      </c>
    </row>
    <row r="12">
      <c r="A12" s="38" t="inlineStr">
        <is>
          <t>MATHWORKS INC PAYROLL</t>
        </is>
      </c>
      <c r="B12" s="38" t="inlineStr">
        <is>
          <t>__INCOME__:Matt</t>
        </is>
      </c>
      <c r="C12" s="10" t="inlineStr">
        <is>
          <t>Matt's paycheck</t>
        </is>
      </c>
    </row>
    <row r="13">
      <c r="A13" s="38" t="inlineStr">
        <is>
          <t>TOWN OF SHARON PAYROLL</t>
        </is>
      </c>
      <c r="B13" s="38" t="inlineStr">
        <is>
          <t>__INCOME__:Sue</t>
        </is>
      </c>
      <c r="C13" s="10" t="inlineStr">
        <is>
          <t>Sue's paycheck</t>
        </is>
      </c>
    </row>
    <row r="14">
      <c r="A14" s="38" t="inlineStr">
        <is>
          <t>COMM\. OF MASS\. MASTTAXRFD</t>
        </is>
      </c>
      <c r="B14" s="38" t="inlineStr">
        <is>
          <t>__INCOME__:Tax refunds</t>
        </is>
      </c>
      <c r="C14" s="10" t="inlineStr">
        <is>
          <t>MA tax refund</t>
        </is>
      </c>
    </row>
    <row r="15">
      <c r="A15" s="38" t="inlineStr">
        <is>
          <t>Monthly Interest Paid</t>
        </is>
      </c>
      <c r="B15" s="38" t="inlineStr">
        <is>
          <t>__INCOME__:Interest</t>
        </is>
      </c>
      <c r="C15" s="10" t="inlineStr">
        <is>
          <t>Bank interest</t>
        </is>
      </c>
    </row>
    <row r="16">
      <c r="A16" s="38" t="inlineStr">
        <is>
          <t>Simple Earn Stmt Credit</t>
        </is>
      </c>
      <c r="B16" s="38" t="inlineStr">
        <is>
          <t>__INCOME__:CC rewards</t>
        </is>
      </c>
      <c r="C16" s="10" t="inlineStr">
        <is>
          <t>Barclaycard rewards</t>
        </is>
      </c>
    </row>
    <row r="17">
      <c r="A17" s="38" t="inlineStr">
        <is>
          <t>TRAVEL CREDIT</t>
        </is>
      </c>
      <c r="B17" s="38" t="inlineStr">
        <is>
          <t>__INCOME__:CC rewards</t>
        </is>
      </c>
      <c r="C17" s="10" t="inlineStr">
        <is>
          <t>Travel statement credit</t>
        </is>
      </c>
    </row>
    <row r="18">
      <c r="A18" s="38" t="inlineStr">
        <is>
          <t>MastercardTransitOffer</t>
        </is>
      </c>
      <c r="B18" s="38" t="inlineStr">
        <is>
          <t>__INCOME__:CC rewards</t>
        </is>
      </c>
      <c r="C18" s="10" t="inlineStr">
        <is>
          <t>Transit promo</t>
        </is>
      </c>
    </row>
    <row r="19">
      <c r="A19" s="38" t="inlineStr">
        <is>
          <t>AMAZON MKTPLACE PMTS</t>
        </is>
      </c>
      <c r="B19" s="38" t="inlineStr">
        <is>
          <t>__INCOME__:Misc refunds</t>
        </is>
      </c>
      <c r="C19" s="10" t="inlineStr">
        <is>
          <t>Amazon refund</t>
        </is>
      </c>
    </row>
    <row r="20">
      <c r="A20" s="38" t="inlineStr">
        <is>
          <t>ROCKET MORTGAGE</t>
        </is>
      </c>
      <c r="B20" s="38" t="inlineStr">
        <is>
          <t>__FIXED__:Mortgage</t>
        </is>
      </c>
      <c r="C20" s="10" t="inlineStr">
        <is>
          <t>Biweekly mortgage</t>
        </is>
      </c>
    </row>
    <row r="21" ht="15.75" customHeight="1" s="39">
      <c r="A21" s="38" t="inlineStr">
        <is>
          <t>AMERICAN GEN LIF INS</t>
        </is>
      </c>
      <c r="B21" s="38" t="inlineStr">
        <is>
          <t>__FIXED__:Life ins (AmGen)</t>
        </is>
      </c>
    </row>
    <row r="22" ht="15.75" customHeight="1" s="39">
      <c r="A22" s="38" t="inlineStr">
        <is>
          <t>ALIC INS PREM</t>
        </is>
      </c>
      <c r="B22" s="38" t="inlineStr">
        <is>
          <t>__FIXED__:Life ins (ALIC)</t>
        </is>
      </c>
    </row>
    <row r="23" ht="15.75" customHeight="1" s="39">
      <c r="A23" s="38" t="inlineStr">
        <is>
          <t>TOYOTA ACH</t>
        </is>
      </c>
      <c r="B23" s="38" t="inlineStr">
        <is>
          <t>__FIXED__:Car (RAV4)</t>
        </is>
      </c>
      <c r="C23" s="10" t="inlineStr">
        <is>
          <t>RAV4 loan</t>
        </is>
      </c>
    </row>
    <row r="24" ht="15.75" customHeight="1" s="39">
      <c r="A24" s="38" t="inlineStr">
        <is>
          <t>BANK OF AMERICA ONLINE PMT</t>
        </is>
      </c>
      <c r="B24" s="38" t="inlineStr">
        <is>
          <t>__FIXED__:Car (Sienna)</t>
        </is>
      </c>
      <c r="C24" s="10" t="inlineStr">
        <is>
          <t>Sienna auto loan</t>
        </is>
      </c>
    </row>
    <row r="25" ht="15.75" customHeight="1" s="39">
      <c r="A25" s="38" t="inlineStr">
        <is>
          <t>VERIZON</t>
        </is>
      </c>
      <c r="B25" s="38" t="inlineStr">
        <is>
          <t>__FIXED__:Verizon</t>
        </is>
      </c>
      <c r="C25" s="10" t="inlineStr">
        <is>
          <t>Internet</t>
        </is>
      </c>
    </row>
    <row r="26" ht="15.75" customHeight="1" s="39">
      <c r="A26" s="38" t="inlineStr">
        <is>
          <t>TMOBILE</t>
        </is>
      </c>
      <c r="B26" s="38" t="inlineStr">
        <is>
          <t>__FIXED__:T-Mobile</t>
        </is>
      </c>
      <c r="C26" s="10" t="inlineStr">
        <is>
          <t>Cell Phone</t>
        </is>
      </c>
    </row>
    <row r="27" ht="15.75" customHeight="1" s="39">
      <c r="A27" s="38" t="inlineStr">
        <is>
          <t>EVERSOURCE</t>
        </is>
      </c>
      <c r="B27" s="38" t="inlineStr">
        <is>
          <t>__FIXED__:Electric</t>
        </is>
      </c>
    </row>
    <row r="28" ht="15.75" customHeight="1" s="39">
      <c r="A28" s="38" t="inlineStr">
        <is>
          <t>SCHWAB ADV</t>
        </is>
      </c>
      <c r="B28" s="38" t="inlineStr">
        <is>
          <t>__FIXED__:Schwab investment</t>
        </is>
      </c>
    </row>
    <row r="29" ht="15.75" customHeight="1" s="39">
      <c r="A29" s="38" t="inlineStr">
        <is>
          <t>FID BKG SVC</t>
        </is>
      </c>
      <c r="B29" s="38" t="inlineStr">
        <is>
          <t>__FIXED__:Fidelity investment</t>
        </is>
      </c>
    </row>
    <row r="30" ht="15.75" customHeight="1" s="39">
      <c r="A30" s="38" t="inlineStr">
        <is>
          <t>NORTHEASTERN UNI</t>
        </is>
      </c>
      <c r="B30" s="38" t="inlineStr">
        <is>
          <t>__FIXED__:Tuition</t>
        </is>
      </c>
    </row>
    <row r="31" ht="15.75" customHeight="1" s="39">
      <c r="A31" s="38" t="inlineStr">
        <is>
          <t>Check #</t>
        </is>
      </c>
      <c r="B31" s="38" t="inlineStr">
        <is>
          <t>__FIXED__:Childcare</t>
        </is>
      </c>
      <c r="C31" s="10" t="inlineStr">
        <is>
          <t>Most checks are childcare</t>
        </is>
      </c>
    </row>
    <row r="32" ht="15.75" customHeight="1" s="39">
      <c r="A32" s="38" t="inlineStr">
        <is>
          <t>ALDI|TRADER JOE|BIG Y|STOP &amp; SHOP|SHAWS|COSTCO WHSE|FARMER IN THE DELL|WARDS BERRY|FLANNEL COW|BUBBLING BROOK|WARD'S BERRY FARM</t>
        </is>
      </c>
      <c r="B32" s="38" t="inlineStr">
        <is>
          <t>Groceries</t>
        </is>
      </c>
    </row>
    <row r="33" ht="15.75" customHeight="1" s="39">
      <c r="A33" s="38" t="inlineStr">
        <is>
          <t>COSTCO GAS|CUMBERLAND FARMS|SHELL OIL|EXXON|BJ.*FUEL|SUNOCO|ROJO CAR WASH|E-ZPASS|GULF OIL 92062891</t>
        </is>
      </c>
      <c r="B33" s="38" t="inlineStr">
        <is>
          <t>Gas / Vehicle</t>
        </is>
      </c>
    </row>
    <row r="34" ht="15.75" customHeight="1" s="39">
      <c r="A34" s="38" t="inlineStr">
        <is>
          <t>NETFLIX|PARAMOUNT|PEACOCK|NYTIMES|SPOTIFY|PATREON|MISSIONLOCAL|APPLE\.COM/BILL|Groupon|KIRO PRO</t>
        </is>
      </c>
      <c r="B34" s="38" t="inlineStr">
        <is>
          <t>Subscriptions</t>
        </is>
      </c>
    </row>
    <row r="35" ht="15.75" customHeight="1" s="39">
      <c r="A35" s="38" t="inlineStr">
        <is>
          <t>WALPOLE YOUTH|RBI BASEBALL|HOCKOMOCK|PATRIOT FLAG|UNIVERSAL POWER|WALPOLE RECREA|NCAHS|OUTSIDERS MERCHAND|KOHR GOLF|FORE KICKS|SASSAMON TRACE|TOWNECRAFTERS|SP PARK STREET BOOKS</t>
        </is>
      </c>
      <c r="B35" s="38" t="inlineStr">
        <is>
          <t>Kids / Activities</t>
        </is>
      </c>
    </row>
    <row r="36" ht="15.75" customHeight="1" s="39">
      <c r="A36" s="38" t="inlineStr">
        <is>
          <t>COURTYARD|MARRIOTT|SPOTHERO|CAPITOL EXPRESS|SMITH STORE|WIEHLE-RESTON|MR ICEO|PULSEWORKS|BINBOX|^METRO|MULTIPURE|DEERFIELD|LEVY@2NATIONAL|UBER *TRIP</t>
        </is>
      </c>
      <c r="B36" s="38" t="inlineStr">
        <is>
          <t>Travel</t>
        </is>
      </c>
    </row>
    <row r="37" ht="15.75" customHeight="1" s="39">
      <c r="A37" s="38" t="inlineStr">
        <is>
          <t>DYNASTY BARBER|YOO NAILS|VIONIC SHOES|J CREW|NORDSTROM|On Sportswear|POSHMARK|SECOND GLANCE|FRANCISCO SILVA - HAIR|GREAT HAND REFLEXOLOGY</t>
        </is>
      </c>
      <c r="B37" s="38" t="inlineStr">
        <is>
          <t>Personal Care</t>
        </is>
      </c>
    </row>
    <row r="38" ht="15.75" customHeight="1" s="39">
      <c r="A38" s="38" t="inlineStr">
        <is>
          <t>WALGREENS|CVS|PETCO|MUFFIN HOUSE|MUFFIN</t>
        </is>
      </c>
      <c r="B38" s="38" t="inlineStr">
        <is>
          <t>Pharmacy / Health</t>
        </is>
      </c>
    </row>
    <row r="39" ht="15.75" customHeight="1" s="39">
      <c r="A39" s="38" t="inlineStr">
        <is>
          <t>HOME DEPOT|ROCKY.*HARDWARE|DOLLARTREE|HOBBY LOBBY|FIVE BELOW|WALMART|VEVOR|WOODCRAFT 335</t>
        </is>
      </c>
      <c r="B39" s="38" t="inlineStr">
        <is>
          <t>Home / Hardware</t>
        </is>
      </c>
    </row>
    <row r="40" ht="15.75" customHeight="1" s="39">
      <c r="A40" s="38" t="inlineStr">
        <is>
          <t>SULLIVAN LANDSCAPE</t>
        </is>
      </c>
      <c r="B40" s="38" t="inlineStr">
        <is>
          <t>Landscaping</t>
        </is>
      </c>
    </row>
    <row r="41" ht="15.75" customHeight="1" s="39">
      <c r="A41" s="38" t="inlineStr">
        <is>
          <t>OPC\*US TREASURY|Intuit Inc</t>
        </is>
      </c>
      <c r="B41" s="38" t="inlineStr">
        <is>
          <t>__FIXED__:Federal taxes</t>
        </is>
      </c>
      <c r="C41" s="10" t="inlineStr">
        <is>
          <t>Annual tax payment</t>
        </is>
      </c>
    </row>
    <row r="42" ht="15.75" customHeight="1" s="39">
      <c r="A42" s="38" t="inlineStr">
        <is>
          <t>TST\*|DD \*|SQ \*|TACO BELL|MCDONALD|WENDY|CHIPOTLE|DUNKIN|STARBUCKS|CAFE FRESH|PIZZERIA|ELEPHANT|MENCHIES|TESSIES|ANGELS CAFE|GINJO|SLICE\*|MONAHANS|RUSTIC GARDEN|RIBPUBLIC|CITIZEN CRUST|TACO AZUL|PHOBAMI|CHUCK E CHEESE|ESTELLA|EAGLE BROOK|PENANG|BEE SUITE|7-ELEVEN|BOSTON OPERA|YANKEE SPIRITS|TOTAL WINE|LS NORFOLK|CONVENIENCE FOOD|PANERA BREAD #203901 O</t>
        </is>
      </c>
      <c r="B42" s="38" t="inlineStr">
        <is>
          <t>Dining out</t>
        </is>
      </c>
    </row>
    <row r="43" ht="15.75" customHeight="1" s="39">
      <c r="A43" s="38" t="inlineStr">
        <is>
          <t>AMZN|AMAZON</t>
        </is>
      </c>
      <c r="B43" s="38" t="inlineStr">
        <is>
          <t>Amazon (misc)</t>
        </is>
      </c>
      <c r="C43" t="inlineStr">
        <is>
          <t>Catch-all Amazon → reconcile on 'Amazon Reconciliation' tab</t>
        </is>
      </c>
    </row>
    <row r="44" ht="15.75" customHeight="1" s="39">
      <c r="A44" s="38" t="inlineStr">
        <is>
          <t>ATM Withdrawal</t>
        </is>
      </c>
      <c r="B44" s="38" t="inlineStr">
        <is>
          <t>Cash / allowances</t>
        </is>
      </c>
    </row>
    <row r="45" ht="15.75" customHeight="1" s="39"/>
    <row r="46" ht="15.75" customHeight="1" s="39"/>
    <row r="47" ht="15.75" customHeight="1" s="39"/>
    <row r="48" ht="15.75" customHeight="1" s="39"/>
    <row r="49" ht="15.75" customHeight="1" s="39"/>
    <row r="50" ht="15.75" customHeight="1" s="39"/>
    <row r="51" ht="15.75" customHeight="1" s="39"/>
    <row r="52" ht="15.75" customHeight="1" s="39"/>
    <row r="53" ht="15.75" customHeight="1" s="39"/>
    <row r="54" ht="15.75" customHeight="1" s="39"/>
    <row r="55" ht="15.75" customHeight="1" s="39"/>
    <row r="56" ht="15.75" customHeight="1" s="39"/>
    <row r="57" ht="15.75" customHeight="1" s="39"/>
    <row r="58" ht="15.75" customHeight="1" s="39"/>
    <row r="59" ht="15.75" customHeight="1" s="39"/>
    <row r="60" ht="15.75" customHeight="1" s="39"/>
    <row r="61" ht="15.75" customHeight="1" s="39"/>
    <row r="62" ht="15.75" customHeight="1" s="39"/>
    <row r="63" ht="15.75" customHeight="1" s="39"/>
    <row r="64" ht="15.75" customHeight="1" s="39"/>
    <row r="65" ht="15.75" customHeight="1" s="39"/>
    <row r="66" ht="15.75" customHeight="1" s="39"/>
    <row r="67" ht="15.75" customHeight="1" s="39"/>
    <row r="68" ht="15.75" customHeight="1" s="39"/>
    <row r="69" ht="15.75" customHeight="1" s="39"/>
    <row r="70" ht="15.75" customHeight="1" s="39"/>
    <row r="71" ht="15.75" customHeight="1" s="39"/>
    <row r="72" ht="15.75" customHeight="1" s="39"/>
    <row r="73" ht="15.75" customHeight="1" s="39"/>
    <row r="74" ht="15.75" customHeight="1" s="39"/>
    <row r="75" ht="15.75" customHeight="1" s="39"/>
    <row r="76" ht="15.75" customHeight="1" s="39"/>
    <row r="77" ht="15.75" customHeight="1" s="39"/>
    <row r="78" ht="15.75" customHeight="1" s="39"/>
    <row r="79" ht="15.75" customHeight="1" s="39"/>
    <row r="80" ht="15.75" customHeight="1" s="39"/>
    <row r="81" ht="15.75" customHeight="1" s="39"/>
    <row r="82" ht="15.75" customHeight="1" s="39"/>
    <row r="83" ht="15.75" customHeight="1" s="39"/>
    <row r="84" ht="15.75" customHeight="1" s="39"/>
    <row r="85" ht="15.75" customHeight="1" s="39"/>
    <row r="86" ht="15.75" customHeight="1" s="39"/>
    <row r="87" ht="15.75" customHeight="1" s="39"/>
    <row r="88" ht="15.75" customHeight="1" s="39"/>
    <row r="89" ht="15.75" customHeight="1" s="39"/>
    <row r="90" ht="15.75" customHeight="1" s="39"/>
    <row r="91" ht="15.75" customHeight="1" s="39"/>
    <row r="92" ht="15.75" customHeight="1" s="39"/>
    <row r="93" ht="15.75" customHeight="1" s="39"/>
    <row r="94" ht="15.75" customHeight="1" s="39"/>
    <row r="95" ht="15.75" customHeight="1" s="39"/>
    <row r="96" ht="15.75" customHeight="1" s="39"/>
    <row r="97" ht="15.75" customHeight="1" s="39"/>
    <row r="98" ht="15.75" customHeight="1" s="39"/>
    <row r="99" ht="15.75" customHeight="1" s="39"/>
    <row r="100" ht="15.75" customHeight="1" s="39"/>
    <row r="101" ht="15.75" customHeight="1" s="39"/>
    <row r="102" ht="15.75" customHeight="1" s="39"/>
    <row r="103" ht="15.75" customHeight="1" s="39"/>
    <row r="104" ht="15.75" customHeight="1" s="39"/>
    <row r="105" ht="15.75" customHeight="1" s="39"/>
    <row r="106" ht="15.75" customHeight="1" s="39"/>
    <row r="107" ht="15.75" customHeight="1" s="39"/>
    <row r="108" ht="15.75" customHeight="1" s="39"/>
    <row r="109" ht="15.75" customHeight="1" s="39"/>
    <row r="110" ht="15.75" customHeight="1" s="39"/>
    <row r="111" ht="15.75" customHeight="1" s="39"/>
    <row r="112" ht="15.75" customHeight="1" s="39"/>
    <row r="113" ht="15.75" customHeight="1" s="39"/>
    <row r="114" ht="15.75" customHeight="1" s="39"/>
    <row r="115" ht="15.75" customHeight="1" s="39"/>
    <row r="116" ht="15.75" customHeight="1" s="39"/>
    <row r="117" ht="15.75" customHeight="1" s="39"/>
    <row r="118" ht="15.75" customHeight="1" s="39"/>
    <row r="119" ht="15.75" customHeight="1" s="39"/>
    <row r="120" ht="15.75" customHeight="1" s="39"/>
    <row r="121" ht="15.75" customHeight="1" s="39"/>
    <row r="122" ht="15.75" customHeight="1" s="39"/>
    <row r="123" ht="15.75" customHeight="1" s="39"/>
    <row r="124" ht="15.75" customHeight="1" s="39"/>
    <row r="125" ht="15.75" customHeight="1" s="39"/>
    <row r="126" ht="15.75" customHeight="1" s="39"/>
    <row r="127" ht="15.75" customHeight="1" s="39"/>
    <row r="128" ht="15.75" customHeight="1" s="39"/>
    <row r="129" ht="15.75" customHeight="1" s="39"/>
    <row r="130" ht="15.75" customHeight="1" s="39"/>
    <row r="131" ht="15.75" customHeight="1" s="39"/>
    <row r="132" ht="15.75" customHeight="1" s="39"/>
    <row r="133" ht="15.75" customHeight="1" s="39"/>
    <row r="134" ht="15.75" customHeight="1" s="39"/>
    <row r="135" ht="15.75" customHeight="1" s="39"/>
    <row r="136" ht="15.75" customHeight="1" s="39"/>
    <row r="137" ht="15.75" customHeight="1" s="39"/>
    <row r="138" ht="15.75" customHeight="1" s="39"/>
    <row r="139" ht="15.75" customHeight="1" s="39"/>
    <row r="140" ht="15.75" customHeight="1" s="39"/>
    <row r="141" ht="15.75" customHeight="1" s="39"/>
    <row r="142" ht="15.75" customHeight="1" s="39"/>
    <row r="143" ht="15.75" customHeight="1" s="39"/>
    <row r="144" ht="15.75" customHeight="1" s="39"/>
    <row r="145" ht="15.75" customHeight="1" s="39"/>
    <row r="146" ht="15.75" customHeight="1" s="39"/>
    <row r="147" ht="15.75" customHeight="1" s="39"/>
    <row r="148" ht="15.75" customHeight="1" s="39"/>
    <row r="149" ht="15.75" customHeight="1" s="39"/>
    <row r="150" ht="15.75" customHeight="1" s="39"/>
    <row r="151" ht="15.75" customHeight="1" s="39"/>
    <row r="152" ht="15.75" customHeight="1" s="39"/>
    <row r="153" ht="15.75" customHeight="1" s="39"/>
    <row r="154" ht="15.75" customHeight="1" s="39"/>
    <row r="155" ht="15.75" customHeight="1" s="39"/>
    <row r="156" ht="15.75" customHeight="1" s="39"/>
    <row r="157" ht="15.75" customHeight="1" s="39"/>
    <row r="158" ht="15.75" customHeight="1" s="39"/>
    <row r="159" ht="15.75" customHeight="1" s="39"/>
    <row r="160" ht="15.75" customHeight="1" s="39"/>
    <row r="161" ht="15.75" customHeight="1" s="39"/>
    <row r="162" ht="15.75" customHeight="1" s="39"/>
    <row r="163" ht="15.75" customHeight="1" s="39"/>
    <row r="164" ht="15.75" customHeight="1" s="39"/>
    <row r="165" ht="15.75" customHeight="1" s="39"/>
    <row r="166" ht="15.75" customHeight="1" s="39"/>
    <row r="167" ht="15.75" customHeight="1" s="39"/>
    <row r="168" ht="15.75" customHeight="1" s="39"/>
    <row r="169" ht="15.75" customHeight="1" s="39"/>
    <row r="170" ht="15.75" customHeight="1" s="39"/>
    <row r="171" ht="15.75" customHeight="1" s="39"/>
    <row r="172" ht="15.75" customHeight="1" s="39"/>
    <row r="173" ht="15.75" customHeight="1" s="39"/>
    <row r="174" ht="15.75" customHeight="1" s="39"/>
    <row r="175" ht="15.75" customHeight="1" s="39"/>
    <row r="176" ht="15.75" customHeight="1" s="39"/>
    <row r="177" ht="15.75" customHeight="1" s="39"/>
    <row r="178" ht="15.75" customHeight="1" s="39"/>
    <row r="179" ht="15.75" customHeight="1" s="39"/>
    <row r="180" ht="15.75" customHeight="1" s="39"/>
    <row r="181" ht="15.75" customHeight="1" s="39"/>
    <row r="182" ht="15.75" customHeight="1" s="39"/>
    <row r="183" ht="15.75" customHeight="1" s="39"/>
    <row r="184" ht="15.75" customHeight="1" s="39"/>
    <row r="185" ht="15.75" customHeight="1" s="39"/>
    <row r="186" ht="15.75" customHeight="1" s="39"/>
    <row r="187" ht="15.75" customHeight="1" s="39"/>
    <row r="188" ht="15.75" customHeight="1" s="39"/>
    <row r="189" ht="15.75" customHeight="1" s="39"/>
    <row r="190" ht="15.75" customHeight="1" s="39"/>
    <row r="191" ht="15.75" customHeight="1" s="39"/>
    <row r="192" ht="15.75" customHeight="1" s="39"/>
    <row r="193" ht="15.75" customHeight="1" s="39"/>
    <row r="194" ht="15.75" customHeight="1" s="39"/>
    <row r="195" ht="15.75" customHeight="1" s="39"/>
    <row r="196" ht="15.75" customHeight="1" s="39"/>
    <row r="197" ht="15.75" customHeight="1" s="39"/>
    <row r="198" ht="15.75" customHeight="1" s="39"/>
    <row r="199" ht="15.75" customHeight="1" s="39"/>
    <row r="200" ht="15.75" customHeight="1" s="39"/>
    <row r="201" ht="15.75" customHeight="1" s="39"/>
    <row r="202" ht="15.75" customHeight="1" s="39"/>
    <row r="203" ht="15.75" customHeight="1" s="39"/>
    <row r="204" ht="15.75" customHeight="1" s="39"/>
    <row r="205" ht="15.75" customHeight="1" s="39"/>
    <row r="206" ht="15.75" customHeight="1" s="39"/>
    <row r="207" ht="15.75" customHeight="1" s="39"/>
    <row r="208" ht="15.75" customHeight="1" s="39"/>
    <row r="209" ht="15.75" customHeight="1" s="39"/>
    <row r="210" ht="15.75" customHeight="1" s="39"/>
    <row r="211" ht="15.75" customHeight="1" s="39"/>
    <row r="212" ht="15.75" customHeight="1" s="39"/>
    <row r="213" ht="15.75" customHeight="1" s="39"/>
    <row r="214" ht="15.75" customHeight="1" s="39"/>
    <row r="215" ht="15.75" customHeight="1" s="39"/>
    <row r="216" ht="15.75" customHeight="1" s="39"/>
    <row r="217" ht="15.75" customHeight="1" s="39"/>
    <row r="218" ht="15.75" customHeight="1" s="39"/>
    <row r="219" ht="15.75" customHeight="1" s="39"/>
    <row r="220" ht="15.75" customHeight="1" s="39"/>
    <row r="221" ht="15.75" customHeight="1" s="39"/>
    <row r="222" ht="15.75" customHeight="1" s="39"/>
    <row r="223" ht="15.75" customHeight="1" s="39"/>
    <row r="224" ht="15.75" customHeight="1" s="39"/>
    <row r="225" ht="15.75" customHeight="1" s="39"/>
    <row r="226" ht="15.75" customHeight="1" s="39"/>
    <row r="227" ht="15.75" customHeight="1" s="39"/>
    <row r="228" ht="15.75" customHeight="1" s="39"/>
    <row r="229" ht="15.75" customHeight="1" s="39"/>
    <row r="230" ht="15.75" customHeight="1" s="39"/>
    <row r="231" ht="15.75" customHeight="1" s="39"/>
    <row r="232" ht="15.75" customHeight="1" s="39"/>
    <row r="233" ht="15.75" customHeight="1" s="39"/>
    <row r="234" ht="15.75" customHeight="1" s="39"/>
    <row r="235" ht="15.75" customHeight="1" s="39"/>
    <row r="236" ht="15.75" customHeight="1" s="39"/>
    <row r="237" ht="15.75" customHeight="1" s="39"/>
    <row r="238" ht="15.75" customHeight="1" s="39"/>
    <row r="239" ht="15.75" customHeight="1" s="39"/>
    <row r="240" ht="15.75" customHeight="1" s="39"/>
    <row r="241" ht="15.75" customHeight="1" s="39"/>
    <row r="242" ht="15.75" customHeight="1" s="39"/>
    <row r="243" ht="15.75" customHeight="1" s="39"/>
    <row r="244" ht="15.75" customHeight="1" s="39"/>
    <row r="245" ht="15.75" customHeight="1" s="39"/>
    <row r="246" ht="15.75" customHeight="1" s="39"/>
    <row r="247" ht="15.75" customHeight="1" s="39"/>
    <row r="248" ht="15.75" customHeight="1" s="39"/>
    <row r="249" ht="15.75" customHeight="1" s="39"/>
    <row r="250" ht="15.75" customHeight="1" s="39"/>
    <row r="251" ht="15.75" customHeight="1" s="39"/>
    <row r="252" ht="15.75" customHeight="1" s="39"/>
    <row r="253" ht="15.75" customHeight="1" s="39"/>
    <row r="254" ht="15.75" customHeight="1" s="39"/>
    <row r="255" ht="15.75" customHeight="1" s="39"/>
    <row r="256" ht="15.75" customHeight="1" s="39"/>
    <row r="257" ht="15.75" customHeight="1" s="39"/>
    <row r="258" ht="15.75" customHeight="1" s="39"/>
    <row r="259" ht="15.75" customHeight="1" s="39"/>
    <row r="260" ht="15.75" customHeight="1" s="39"/>
    <row r="261" ht="15.75" customHeight="1" s="39"/>
    <row r="262" ht="15.75" customHeight="1" s="39"/>
    <row r="263" ht="15.75" customHeight="1" s="39"/>
    <row r="264" ht="15.75" customHeight="1" s="39"/>
    <row r="265" ht="15.75" customHeight="1" s="39"/>
    <row r="266" ht="15.75" customHeight="1" s="39"/>
    <row r="267" ht="15.75" customHeight="1" s="39"/>
    <row r="268" ht="15.75" customHeight="1" s="39"/>
    <row r="269" ht="15.75" customHeight="1" s="39"/>
    <row r="270" ht="15.75" customHeight="1" s="39"/>
    <row r="271" ht="15.75" customHeight="1" s="39"/>
    <row r="272" ht="15.75" customHeight="1" s="39"/>
    <row r="273" ht="15.75" customHeight="1" s="39"/>
    <row r="274" ht="15.75" customHeight="1" s="39"/>
    <row r="275" ht="15.75" customHeight="1" s="39"/>
    <row r="276" ht="15.75" customHeight="1" s="39"/>
    <row r="277" ht="15.75" customHeight="1" s="39"/>
    <row r="278" ht="15.75" customHeight="1" s="39"/>
    <row r="279" ht="15.75" customHeight="1" s="39"/>
    <row r="280" ht="15.75" customHeight="1" s="39"/>
    <row r="281" ht="15.75" customHeight="1" s="39"/>
    <row r="282" ht="15.75" customHeight="1" s="39"/>
    <row r="283" ht="15.75" customHeight="1" s="39"/>
    <row r="284" ht="15.75" customHeight="1" s="39"/>
    <row r="285" ht="15.75" customHeight="1" s="39"/>
    <row r="286" ht="15.75" customHeight="1" s="39"/>
    <row r="287" ht="15.75" customHeight="1" s="39"/>
    <row r="288" ht="15.75" customHeight="1" s="39"/>
    <row r="289" ht="15.75" customHeight="1" s="39"/>
    <row r="290" ht="15.75" customHeight="1" s="39"/>
    <row r="291" ht="15.75" customHeight="1" s="39"/>
    <row r="292" ht="15.75" customHeight="1" s="39"/>
    <row r="293" ht="15.75" customHeight="1" s="39"/>
    <row r="294" ht="15.75" customHeight="1" s="39"/>
    <row r="295" ht="15.75" customHeight="1" s="39"/>
    <row r="296" ht="15.75" customHeight="1" s="39"/>
    <row r="297" ht="15.75" customHeight="1" s="39"/>
    <row r="298" ht="15.75" customHeight="1" s="39"/>
    <row r="299" ht="15.75" customHeight="1" s="39"/>
    <row r="300" ht="15.75" customHeight="1" s="39"/>
    <row r="301" ht="15.75" customHeight="1" s="39"/>
    <row r="302" ht="15.75" customHeight="1" s="39"/>
    <row r="303" ht="15.75" customHeight="1" s="39"/>
    <row r="304" ht="15.75" customHeight="1" s="39"/>
    <row r="305" ht="15.75" customHeight="1" s="39"/>
    <row r="306" ht="15.75" customHeight="1" s="39"/>
    <row r="307" ht="15.75" customHeight="1" s="39"/>
    <row r="308" ht="15.75" customHeight="1" s="39"/>
    <row r="309" ht="15.75" customHeight="1" s="39"/>
    <row r="310" ht="15.75" customHeight="1" s="39"/>
    <row r="311" ht="15.75" customHeight="1" s="39"/>
    <row r="312" ht="15.75" customHeight="1" s="39"/>
    <row r="313" ht="15.75" customHeight="1" s="39"/>
    <row r="314" ht="15.75" customHeight="1" s="39"/>
    <row r="315" ht="15.75" customHeight="1" s="39"/>
    <row r="316" ht="15.75" customHeight="1" s="39"/>
    <row r="317" ht="15.75" customHeight="1" s="39"/>
    <row r="318" ht="15.75" customHeight="1" s="39"/>
    <row r="319" ht="15.75" customHeight="1" s="39"/>
    <row r="320" ht="15.75" customHeight="1" s="39"/>
    <row r="321" ht="15.75" customHeight="1" s="39"/>
    <row r="322" ht="15.75" customHeight="1" s="39"/>
    <row r="323" ht="15.75" customHeight="1" s="39"/>
    <row r="324" ht="15.75" customHeight="1" s="39"/>
    <row r="325" ht="15.75" customHeight="1" s="39"/>
    <row r="326" ht="15.75" customHeight="1" s="39"/>
    <row r="327" ht="15.75" customHeight="1" s="39"/>
    <row r="328" ht="15.75" customHeight="1" s="39"/>
    <row r="329" ht="15.75" customHeight="1" s="39"/>
    <row r="330" ht="15.75" customHeight="1" s="39"/>
    <row r="331" ht="15.75" customHeight="1" s="39"/>
    <row r="332" ht="15.75" customHeight="1" s="39"/>
    <row r="333" ht="15.75" customHeight="1" s="39"/>
    <row r="334" ht="15.75" customHeight="1" s="39"/>
    <row r="335" ht="15.75" customHeight="1" s="39"/>
    <row r="336" ht="15.75" customHeight="1" s="39"/>
    <row r="337" ht="15.75" customHeight="1" s="39"/>
    <row r="338" ht="15.75" customHeight="1" s="39"/>
    <row r="339" ht="15.75" customHeight="1" s="39"/>
    <row r="340" ht="15.75" customHeight="1" s="39"/>
    <row r="341" ht="15.75" customHeight="1" s="39"/>
    <row r="342" ht="15.75" customHeight="1" s="39"/>
    <row r="343" ht="15.75" customHeight="1" s="39"/>
    <row r="344" ht="15.75" customHeight="1" s="39"/>
    <row r="345" ht="15.75" customHeight="1" s="39"/>
    <row r="346" ht="15.75" customHeight="1" s="39"/>
    <row r="347" ht="15.75" customHeight="1" s="39"/>
    <row r="348" ht="15.75" customHeight="1" s="39"/>
    <row r="349" ht="15.75" customHeight="1" s="39"/>
    <row r="350" ht="15.75" customHeight="1" s="39"/>
    <row r="351" ht="15.75" customHeight="1" s="39"/>
    <row r="352" ht="15.75" customHeight="1" s="39"/>
    <row r="353" ht="15.75" customHeight="1" s="39"/>
    <row r="354" ht="15.75" customHeight="1" s="39"/>
    <row r="355" ht="15.75" customHeight="1" s="39"/>
    <row r="356" ht="15.75" customHeight="1" s="39"/>
    <row r="357" ht="15.75" customHeight="1" s="39"/>
    <row r="358" ht="15.75" customHeight="1" s="39"/>
    <row r="359" ht="15.75" customHeight="1" s="39"/>
    <row r="360" ht="15.75" customHeight="1" s="39"/>
    <row r="361" ht="15.75" customHeight="1" s="39"/>
    <row r="362" ht="15.75" customHeight="1" s="39"/>
    <row r="363" ht="15.75" customHeight="1" s="39"/>
    <row r="364" ht="15.75" customHeight="1" s="39"/>
    <row r="365" ht="15.75" customHeight="1" s="39"/>
    <row r="366" ht="15.75" customHeight="1" s="39"/>
    <row r="367" ht="15.75" customHeight="1" s="39"/>
    <row r="368" ht="15.75" customHeight="1" s="39"/>
    <row r="369" ht="15.75" customHeight="1" s="39"/>
    <row r="370" ht="15.75" customHeight="1" s="39"/>
    <row r="371" ht="15.75" customHeight="1" s="39"/>
    <row r="372" ht="15.75" customHeight="1" s="39"/>
    <row r="373" ht="15.75" customHeight="1" s="39"/>
    <row r="374" ht="15.75" customHeight="1" s="39"/>
    <row r="375" ht="15.75" customHeight="1" s="39"/>
    <row r="376" ht="15.75" customHeight="1" s="39"/>
    <row r="377" ht="15.75" customHeight="1" s="39"/>
    <row r="378" ht="15.75" customHeight="1" s="39"/>
    <row r="379" ht="15.75" customHeight="1" s="39"/>
    <row r="380" ht="15.75" customHeight="1" s="39"/>
    <row r="381" ht="15.75" customHeight="1" s="39"/>
    <row r="382" ht="15.75" customHeight="1" s="39"/>
    <row r="383" ht="15.75" customHeight="1" s="39"/>
    <row r="384" ht="15.75" customHeight="1" s="39"/>
    <row r="385" ht="15.75" customHeight="1" s="39"/>
    <row r="386" ht="15.75" customHeight="1" s="39"/>
    <row r="387" ht="15.75" customHeight="1" s="39"/>
    <row r="388" ht="15.75" customHeight="1" s="39"/>
    <row r="389" ht="15.75" customHeight="1" s="39"/>
    <row r="390" ht="15.75" customHeight="1" s="39"/>
    <row r="391" ht="15.75" customHeight="1" s="39"/>
    <row r="392" ht="15.75" customHeight="1" s="39"/>
    <row r="393" ht="15.75" customHeight="1" s="39"/>
    <row r="394" ht="15.75" customHeight="1" s="39"/>
    <row r="395" ht="15.75" customHeight="1" s="39"/>
    <row r="396" ht="15.75" customHeight="1" s="39"/>
    <row r="397" ht="15.75" customHeight="1" s="39"/>
    <row r="398" ht="15.75" customHeight="1" s="39"/>
    <row r="399" ht="15.75" customHeight="1" s="39"/>
    <row r="400" ht="15.75" customHeight="1" s="39"/>
    <row r="401" ht="15.75" customHeight="1" s="39"/>
    <row r="402" ht="15.75" customHeight="1" s="39"/>
    <row r="403" ht="15.75" customHeight="1" s="39"/>
    <row r="404" ht="15.75" customHeight="1" s="39"/>
    <row r="405" ht="15.75" customHeight="1" s="39"/>
    <row r="406" ht="15.75" customHeight="1" s="39"/>
    <row r="407" ht="15.75" customHeight="1" s="39"/>
    <row r="408" ht="15.75" customHeight="1" s="39"/>
    <row r="409" ht="15.75" customHeight="1" s="39"/>
    <row r="410" ht="15.75" customHeight="1" s="39"/>
    <row r="411" ht="15.75" customHeight="1" s="39"/>
    <row r="412" ht="15.75" customHeight="1" s="39"/>
    <row r="413" ht="15.75" customHeight="1" s="39"/>
    <row r="414" ht="15.75" customHeight="1" s="39"/>
    <row r="415" ht="15.75" customHeight="1" s="39"/>
    <row r="416" ht="15.75" customHeight="1" s="39"/>
    <row r="417" ht="15.75" customHeight="1" s="39"/>
    <row r="418" ht="15.75" customHeight="1" s="39"/>
    <row r="419" ht="15.75" customHeight="1" s="39"/>
    <row r="420" ht="15.75" customHeight="1" s="39"/>
    <row r="421" ht="15.75" customHeight="1" s="39"/>
    <row r="422" ht="15.75" customHeight="1" s="39"/>
    <row r="423" ht="15.75" customHeight="1" s="39"/>
    <row r="424" ht="15.75" customHeight="1" s="39"/>
    <row r="425" ht="15.75" customHeight="1" s="39"/>
    <row r="426" ht="15.75" customHeight="1" s="39"/>
    <row r="427" ht="15.75" customHeight="1" s="39"/>
    <row r="428" ht="15.75" customHeight="1" s="39"/>
    <row r="429" ht="15.75" customHeight="1" s="39"/>
    <row r="430" ht="15.75" customHeight="1" s="39"/>
    <row r="431" ht="15.75" customHeight="1" s="39"/>
    <row r="432" ht="15.75" customHeight="1" s="39"/>
    <row r="433" ht="15.75" customHeight="1" s="39"/>
    <row r="434" ht="15.75" customHeight="1" s="39"/>
    <row r="435" ht="15.75" customHeight="1" s="39"/>
    <row r="436" ht="15.75" customHeight="1" s="39"/>
    <row r="437" ht="15.75" customHeight="1" s="39"/>
    <row r="438" ht="15.75" customHeight="1" s="39"/>
    <row r="439" ht="15.75" customHeight="1" s="39"/>
    <row r="440" ht="15.75" customHeight="1" s="39"/>
    <row r="441" ht="15.75" customHeight="1" s="39"/>
    <row r="442" ht="15.75" customHeight="1" s="39"/>
    <row r="443" ht="15.75" customHeight="1" s="39"/>
    <row r="444" ht="15.75" customHeight="1" s="39"/>
    <row r="445" ht="15.75" customHeight="1" s="39"/>
    <row r="446" ht="15.75" customHeight="1" s="39"/>
    <row r="447" ht="15.75" customHeight="1" s="39"/>
    <row r="448" ht="15.75" customHeight="1" s="39"/>
    <row r="449" ht="15.75" customHeight="1" s="39"/>
    <row r="450" ht="15.75" customHeight="1" s="39"/>
    <row r="451" ht="15.75" customHeight="1" s="39"/>
    <row r="452" ht="15.75" customHeight="1" s="39"/>
    <row r="453" ht="15.75" customHeight="1" s="39"/>
    <row r="454" ht="15.75" customHeight="1" s="39"/>
    <row r="455" ht="15.75" customHeight="1" s="39"/>
    <row r="456" ht="15.75" customHeight="1" s="39"/>
    <row r="457" ht="15.75" customHeight="1" s="39"/>
    <row r="458" ht="15.75" customHeight="1" s="39"/>
    <row r="459" ht="15.75" customHeight="1" s="39"/>
    <row r="460" ht="15.75" customHeight="1" s="39"/>
    <row r="461" ht="15.75" customHeight="1" s="39"/>
    <row r="462" ht="15.75" customHeight="1" s="39"/>
    <row r="463" ht="15.75" customHeight="1" s="39"/>
    <row r="464" ht="15.75" customHeight="1" s="39"/>
    <row r="465" ht="15.75" customHeight="1" s="39"/>
    <row r="466" ht="15.75" customHeight="1" s="39"/>
    <row r="467" ht="15.75" customHeight="1" s="39"/>
    <row r="468" ht="15.75" customHeight="1" s="39"/>
    <row r="469" ht="15.75" customHeight="1" s="39"/>
    <row r="470" ht="15.75" customHeight="1" s="39"/>
    <row r="471" ht="15.75" customHeight="1" s="39"/>
    <row r="472" ht="15.75" customHeight="1" s="39"/>
    <row r="473" ht="15.75" customHeight="1" s="39"/>
    <row r="474" ht="15.75" customHeight="1" s="39"/>
    <row r="475" ht="15.75" customHeight="1" s="39"/>
    <row r="476" ht="15.75" customHeight="1" s="39"/>
    <row r="477" ht="15.75" customHeight="1" s="39"/>
    <row r="478" ht="15.75" customHeight="1" s="39"/>
    <row r="479" ht="15.75" customHeight="1" s="39"/>
    <row r="480" ht="15.75" customHeight="1" s="39"/>
    <row r="481" ht="15.75" customHeight="1" s="39"/>
    <row r="482" ht="15.75" customHeight="1" s="39"/>
    <row r="483" ht="15.75" customHeight="1" s="39"/>
    <row r="484" ht="15.75" customHeight="1" s="39"/>
    <row r="485" ht="15.75" customHeight="1" s="39"/>
    <row r="486" ht="15.75" customHeight="1" s="39"/>
    <row r="487" ht="15.75" customHeight="1" s="39"/>
    <row r="488" ht="15.75" customHeight="1" s="39"/>
    <row r="489" ht="15.75" customHeight="1" s="39"/>
    <row r="490" ht="15.75" customHeight="1" s="39"/>
    <row r="491" ht="15.75" customHeight="1" s="39"/>
    <row r="492" ht="15.75" customHeight="1" s="39"/>
    <row r="493" ht="15.75" customHeight="1" s="39"/>
    <row r="494" ht="15.75" customHeight="1" s="39"/>
    <row r="495" ht="15.75" customHeight="1" s="39"/>
    <row r="496" ht="15.75" customHeight="1" s="39"/>
    <row r="497" ht="15.75" customHeight="1" s="39"/>
    <row r="498" ht="15.75" customHeight="1" s="39"/>
    <row r="499" ht="15.75" customHeight="1" s="39"/>
    <row r="500" ht="15.75" customHeight="1" s="39"/>
    <row r="501" ht="15.75" customHeight="1" s="39"/>
    <row r="502" ht="15.75" customHeight="1" s="39"/>
    <row r="503" ht="15.75" customHeight="1" s="39"/>
    <row r="504" ht="15.75" customHeight="1" s="39"/>
    <row r="505" ht="15.75" customHeight="1" s="39"/>
    <row r="506" ht="15.75" customHeight="1" s="39"/>
    <row r="507" ht="15.75" customHeight="1" s="39"/>
    <row r="508" ht="15.75" customHeight="1" s="39"/>
    <row r="509" ht="15.75" customHeight="1" s="39"/>
    <row r="510" ht="15.75" customHeight="1" s="39"/>
    <row r="511" ht="15.75" customHeight="1" s="39"/>
    <row r="512" ht="15.75" customHeight="1" s="39"/>
    <row r="513" ht="15.75" customHeight="1" s="39"/>
    <row r="514" ht="15.75" customHeight="1" s="39"/>
    <row r="515" ht="15.75" customHeight="1" s="39"/>
    <row r="516" ht="15.75" customHeight="1" s="39"/>
    <row r="517" ht="15.75" customHeight="1" s="39"/>
    <row r="518" ht="15.75" customHeight="1" s="39"/>
    <row r="519" ht="15.75" customHeight="1" s="39"/>
    <row r="520" ht="15.75" customHeight="1" s="39"/>
    <row r="521" ht="15.75" customHeight="1" s="39"/>
    <row r="522" ht="15.75" customHeight="1" s="39"/>
    <row r="523" ht="15.75" customHeight="1" s="39"/>
    <row r="524" ht="15.75" customHeight="1" s="39"/>
    <row r="525" ht="15.75" customHeight="1" s="39"/>
    <row r="526" ht="15.75" customHeight="1" s="39"/>
    <row r="527" ht="15.75" customHeight="1" s="39"/>
    <row r="528" ht="15.75" customHeight="1" s="39"/>
    <row r="529" ht="15.75" customHeight="1" s="39"/>
    <row r="530" ht="15.75" customHeight="1" s="39"/>
    <row r="531" ht="15.75" customHeight="1" s="39"/>
    <row r="532" ht="15.75" customHeight="1" s="39"/>
    <row r="533" ht="15.75" customHeight="1" s="39"/>
    <row r="534" ht="15.75" customHeight="1" s="39"/>
    <row r="535" ht="15.75" customHeight="1" s="39"/>
    <row r="536" ht="15.75" customHeight="1" s="39"/>
    <row r="537" ht="15.75" customHeight="1" s="39"/>
    <row r="538" ht="15.75" customHeight="1" s="39"/>
    <row r="539" ht="15.75" customHeight="1" s="39"/>
    <row r="540" ht="15.75" customHeight="1" s="39"/>
    <row r="541" ht="15.75" customHeight="1" s="39"/>
    <row r="542" ht="15.75" customHeight="1" s="39"/>
    <row r="543" ht="15.75" customHeight="1" s="39"/>
    <row r="544" ht="15.75" customHeight="1" s="39"/>
    <row r="545" ht="15.75" customHeight="1" s="39"/>
    <row r="546" ht="15.75" customHeight="1" s="39"/>
    <row r="547" ht="15.75" customHeight="1" s="39"/>
    <row r="548" ht="15.75" customHeight="1" s="39"/>
    <row r="549" ht="15.75" customHeight="1" s="39"/>
    <row r="550" ht="15.75" customHeight="1" s="39"/>
    <row r="551" ht="15.75" customHeight="1" s="39"/>
    <row r="552" ht="15.75" customHeight="1" s="39"/>
    <row r="553" ht="15.75" customHeight="1" s="39"/>
    <row r="554" ht="15.75" customHeight="1" s="39"/>
    <row r="555" ht="15.75" customHeight="1" s="39"/>
    <row r="556" ht="15.75" customHeight="1" s="39"/>
    <row r="557" ht="15.75" customHeight="1" s="39"/>
    <row r="558" ht="15.75" customHeight="1" s="39"/>
    <row r="559" ht="15.75" customHeight="1" s="39"/>
    <row r="560" ht="15.75" customHeight="1" s="39"/>
    <row r="561" ht="15.75" customHeight="1" s="39"/>
    <row r="562" ht="15.75" customHeight="1" s="39"/>
    <row r="563" ht="15.75" customHeight="1" s="39"/>
    <row r="564" ht="15.75" customHeight="1" s="39"/>
    <row r="565" ht="15.75" customHeight="1" s="39"/>
    <row r="566" ht="15.75" customHeight="1" s="39"/>
    <row r="567" ht="15.75" customHeight="1" s="39"/>
    <row r="568" ht="15.75" customHeight="1" s="39"/>
    <row r="569" ht="15.75" customHeight="1" s="39"/>
    <row r="570" ht="15.75" customHeight="1" s="39"/>
    <row r="571" ht="15.75" customHeight="1" s="39"/>
    <row r="572" ht="15.75" customHeight="1" s="39"/>
    <row r="573" ht="15.75" customHeight="1" s="39"/>
    <row r="574" ht="15.75" customHeight="1" s="39"/>
    <row r="575" ht="15.75" customHeight="1" s="39"/>
    <row r="576" ht="15.75" customHeight="1" s="39"/>
    <row r="577" ht="15.75" customHeight="1" s="39"/>
    <row r="578" ht="15.75" customHeight="1" s="39"/>
    <row r="579" ht="15.75" customHeight="1" s="39"/>
    <row r="580" ht="15.75" customHeight="1" s="39"/>
    <row r="581" ht="15.75" customHeight="1" s="39"/>
    <row r="582" ht="15.75" customHeight="1" s="39"/>
    <row r="583" ht="15.75" customHeight="1" s="39"/>
    <row r="584" ht="15.75" customHeight="1" s="39"/>
    <row r="585" ht="15.75" customHeight="1" s="39"/>
    <row r="586" ht="15.75" customHeight="1" s="39"/>
    <row r="587" ht="15.75" customHeight="1" s="39"/>
    <row r="588" ht="15.75" customHeight="1" s="39"/>
    <row r="589" ht="15.75" customHeight="1" s="39"/>
    <row r="590" ht="15.75" customHeight="1" s="39"/>
    <row r="591" ht="15.75" customHeight="1" s="39"/>
    <row r="592" ht="15.75" customHeight="1" s="39"/>
    <row r="593" ht="15.75" customHeight="1" s="39"/>
    <row r="594" ht="15.75" customHeight="1" s="39"/>
    <row r="595" ht="15.75" customHeight="1" s="39"/>
    <row r="596" ht="15.75" customHeight="1" s="39"/>
    <row r="597" ht="15.75" customHeight="1" s="39"/>
    <row r="598" ht="15.75" customHeight="1" s="39"/>
    <row r="599" ht="15.75" customHeight="1" s="39"/>
    <row r="600" ht="15.75" customHeight="1" s="39"/>
    <row r="601" ht="15.75" customHeight="1" s="39"/>
    <row r="602" ht="15.75" customHeight="1" s="39"/>
    <row r="603" ht="15.75" customHeight="1" s="39"/>
    <row r="604" ht="15.75" customHeight="1" s="39"/>
    <row r="605" ht="15.75" customHeight="1" s="39"/>
    <row r="606" ht="15.75" customHeight="1" s="39"/>
    <row r="607" ht="15.75" customHeight="1" s="39"/>
    <row r="608" ht="15.75" customHeight="1" s="39"/>
    <row r="609" ht="15.75" customHeight="1" s="39"/>
    <row r="610" ht="15.75" customHeight="1" s="39"/>
    <row r="611" ht="15.75" customHeight="1" s="39"/>
    <row r="612" ht="15.75" customHeight="1" s="39"/>
    <row r="613" ht="15.75" customHeight="1" s="39"/>
    <row r="614" ht="15.75" customHeight="1" s="39"/>
    <row r="615" ht="15.75" customHeight="1" s="39"/>
    <row r="616" ht="15.75" customHeight="1" s="39"/>
    <row r="617" ht="15.75" customHeight="1" s="39"/>
    <row r="618" ht="15.75" customHeight="1" s="39"/>
    <row r="619" ht="15.75" customHeight="1" s="39"/>
    <row r="620" ht="15.75" customHeight="1" s="39"/>
    <row r="621" ht="15.75" customHeight="1" s="39"/>
    <row r="622" ht="15.75" customHeight="1" s="39"/>
    <row r="623" ht="15.75" customHeight="1" s="39"/>
    <row r="624" ht="15.75" customHeight="1" s="39"/>
    <row r="625" ht="15.75" customHeight="1" s="39"/>
    <row r="626" ht="15.75" customHeight="1" s="39"/>
    <row r="627" ht="15.75" customHeight="1" s="39"/>
    <row r="628" ht="15.75" customHeight="1" s="39"/>
    <row r="629" ht="15.75" customHeight="1" s="39"/>
    <row r="630" ht="15.75" customHeight="1" s="39"/>
    <row r="631" ht="15.75" customHeight="1" s="39"/>
    <row r="632" ht="15.75" customHeight="1" s="39"/>
    <row r="633" ht="15.75" customHeight="1" s="39"/>
    <row r="634" ht="15.75" customHeight="1" s="39"/>
    <row r="635" ht="15.75" customHeight="1" s="39"/>
    <row r="636" ht="15.75" customHeight="1" s="39"/>
    <row r="637" ht="15.75" customHeight="1" s="39"/>
    <row r="638" ht="15.75" customHeight="1" s="39"/>
    <row r="639" ht="15.75" customHeight="1" s="39"/>
    <row r="640" ht="15.75" customHeight="1" s="39"/>
    <row r="641" ht="15.75" customHeight="1" s="39"/>
    <row r="642" ht="15.75" customHeight="1" s="39"/>
    <row r="643" ht="15.75" customHeight="1" s="39"/>
    <row r="644" ht="15.75" customHeight="1" s="39"/>
    <row r="645" ht="15.75" customHeight="1" s="39"/>
    <row r="646" ht="15.75" customHeight="1" s="39"/>
    <row r="647" ht="15.75" customHeight="1" s="39"/>
    <row r="648" ht="15.75" customHeight="1" s="39"/>
    <row r="649" ht="15.75" customHeight="1" s="39"/>
    <row r="650" ht="15.75" customHeight="1" s="39"/>
    <row r="651" ht="15.75" customHeight="1" s="39"/>
    <row r="652" ht="15.75" customHeight="1" s="39"/>
    <row r="653" ht="15.75" customHeight="1" s="39"/>
    <row r="654" ht="15.75" customHeight="1" s="39"/>
    <row r="655" ht="15.75" customHeight="1" s="39"/>
    <row r="656" ht="15.75" customHeight="1" s="39"/>
    <row r="657" ht="15.75" customHeight="1" s="39"/>
    <row r="658" ht="15.75" customHeight="1" s="39"/>
    <row r="659" ht="15.75" customHeight="1" s="39"/>
    <row r="660" ht="15.75" customHeight="1" s="39"/>
    <row r="661" ht="15.75" customHeight="1" s="39"/>
    <row r="662" ht="15.75" customHeight="1" s="39"/>
    <row r="663" ht="15.75" customHeight="1" s="39"/>
    <row r="664" ht="15.75" customHeight="1" s="39"/>
    <row r="665" ht="15.75" customHeight="1" s="39"/>
    <row r="666" ht="15.75" customHeight="1" s="39"/>
    <row r="667" ht="15.75" customHeight="1" s="39"/>
    <row r="668" ht="15.75" customHeight="1" s="39"/>
    <row r="669" ht="15.75" customHeight="1" s="39"/>
    <row r="670" ht="15.75" customHeight="1" s="39"/>
    <row r="671" ht="15.75" customHeight="1" s="39"/>
    <row r="672" ht="15.75" customHeight="1" s="39"/>
    <row r="673" ht="15.75" customHeight="1" s="39"/>
    <row r="674" ht="15.75" customHeight="1" s="39"/>
    <row r="675" ht="15.75" customHeight="1" s="39"/>
    <row r="676" ht="15.75" customHeight="1" s="39"/>
    <row r="677" ht="15.75" customHeight="1" s="39"/>
    <row r="678" ht="15.75" customHeight="1" s="39"/>
    <row r="679" ht="15.75" customHeight="1" s="39"/>
    <row r="680" ht="15.75" customHeight="1" s="39"/>
    <row r="681" ht="15.75" customHeight="1" s="39"/>
    <row r="682" ht="15.75" customHeight="1" s="39"/>
    <row r="683" ht="15.75" customHeight="1" s="39"/>
    <row r="684" ht="15.75" customHeight="1" s="39"/>
    <row r="685" ht="15.75" customHeight="1" s="39"/>
    <row r="686" ht="15.75" customHeight="1" s="39"/>
    <row r="687" ht="15.75" customHeight="1" s="39"/>
    <row r="688" ht="15.75" customHeight="1" s="39"/>
    <row r="689" ht="15.75" customHeight="1" s="39"/>
    <row r="690" ht="15.75" customHeight="1" s="39"/>
    <row r="691" ht="15.75" customHeight="1" s="39"/>
    <row r="692" ht="15.75" customHeight="1" s="39"/>
    <row r="693" ht="15.75" customHeight="1" s="39"/>
    <row r="694" ht="15.75" customHeight="1" s="39"/>
    <row r="695" ht="15.75" customHeight="1" s="39"/>
    <row r="696" ht="15.75" customHeight="1" s="39"/>
    <row r="697" ht="15.75" customHeight="1" s="39"/>
    <row r="698" ht="15.75" customHeight="1" s="39"/>
    <row r="699" ht="15.75" customHeight="1" s="39"/>
    <row r="700" ht="15.75" customHeight="1" s="39"/>
    <row r="701" ht="15.75" customHeight="1" s="39"/>
    <row r="702" ht="15.75" customHeight="1" s="39"/>
    <row r="703" ht="15.75" customHeight="1" s="39"/>
    <row r="704" ht="15.75" customHeight="1" s="39"/>
    <row r="705" ht="15.75" customHeight="1" s="39"/>
    <row r="706" ht="15.75" customHeight="1" s="39"/>
    <row r="707" ht="15.75" customHeight="1" s="39"/>
    <row r="708" ht="15.75" customHeight="1" s="39"/>
    <row r="709" ht="15.75" customHeight="1" s="39"/>
    <row r="710" ht="15.75" customHeight="1" s="39"/>
    <row r="711" ht="15.75" customHeight="1" s="39"/>
    <row r="712" ht="15.75" customHeight="1" s="39"/>
    <row r="713" ht="15.75" customHeight="1" s="39"/>
    <row r="714" ht="15.75" customHeight="1" s="39"/>
    <row r="715" ht="15.75" customHeight="1" s="39"/>
    <row r="716" ht="15.75" customHeight="1" s="39"/>
    <row r="717" ht="15.75" customHeight="1" s="39"/>
    <row r="718" ht="15.75" customHeight="1" s="39"/>
    <row r="719" ht="15.75" customHeight="1" s="39"/>
    <row r="720" ht="15.75" customHeight="1" s="39"/>
    <row r="721" ht="15.75" customHeight="1" s="39"/>
    <row r="722" ht="15.75" customHeight="1" s="39"/>
    <row r="723" ht="15.75" customHeight="1" s="39"/>
    <row r="724" ht="15.75" customHeight="1" s="39"/>
    <row r="725" ht="15.75" customHeight="1" s="39"/>
    <row r="726" ht="15.75" customHeight="1" s="39"/>
    <row r="727" ht="15.75" customHeight="1" s="39"/>
    <row r="728" ht="15.75" customHeight="1" s="39"/>
    <row r="729" ht="15.75" customHeight="1" s="39"/>
    <row r="730" ht="15.75" customHeight="1" s="39"/>
    <row r="731" ht="15.75" customHeight="1" s="39"/>
    <row r="732" ht="15.75" customHeight="1" s="39"/>
    <row r="733" ht="15.75" customHeight="1" s="39"/>
    <row r="734" ht="15.75" customHeight="1" s="39"/>
    <row r="735" ht="15.75" customHeight="1" s="39"/>
    <row r="736" ht="15.75" customHeight="1" s="39"/>
    <row r="737" ht="15.75" customHeight="1" s="39"/>
    <row r="738" ht="15.75" customHeight="1" s="39"/>
    <row r="739" ht="15.75" customHeight="1" s="39"/>
    <row r="740" ht="15.75" customHeight="1" s="39"/>
    <row r="741" ht="15.75" customHeight="1" s="39"/>
    <row r="742" ht="15.75" customHeight="1" s="39"/>
    <row r="743" ht="15.75" customHeight="1" s="39"/>
    <row r="744" ht="15.75" customHeight="1" s="39"/>
    <row r="745" ht="15.75" customHeight="1" s="39"/>
    <row r="746" ht="15.75" customHeight="1" s="39"/>
    <row r="747" ht="15.75" customHeight="1" s="39"/>
    <row r="748" ht="15.75" customHeight="1" s="39"/>
    <row r="749" ht="15.75" customHeight="1" s="39"/>
    <row r="750" ht="15.75" customHeight="1" s="39"/>
    <row r="751" ht="15.75" customHeight="1" s="39"/>
    <row r="752" ht="15.75" customHeight="1" s="39"/>
    <row r="753" ht="15.75" customHeight="1" s="39"/>
    <row r="754" ht="15.75" customHeight="1" s="39"/>
    <row r="755" ht="15.75" customHeight="1" s="39"/>
    <row r="756" ht="15.75" customHeight="1" s="39"/>
    <row r="757" ht="15.75" customHeight="1" s="39"/>
    <row r="758" ht="15.75" customHeight="1" s="39"/>
    <row r="759" ht="15.75" customHeight="1" s="39"/>
    <row r="760" ht="15.75" customHeight="1" s="39"/>
    <row r="761" ht="15.75" customHeight="1" s="39"/>
    <row r="762" ht="15.75" customHeight="1" s="39"/>
    <row r="763" ht="15.75" customHeight="1" s="39"/>
    <row r="764" ht="15.75" customHeight="1" s="39"/>
    <row r="765" ht="15.75" customHeight="1" s="39"/>
    <row r="766" ht="15.75" customHeight="1" s="39"/>
    <row r="767" ht="15.75" customHeight="1" s="39"/>
    <row r="768" ht="15.75" customHeight="1" s="39"/>
    <row r="769" ht="15.75" customHeight="1" s="39"/>
    <row r="770" ht="15.75" customHeight="1" s="39"/>
    <row r="771" ht="15.75" customHeight="1" s="39"/>
    <row r="772" ht="15.75" customHeight="1" s="39"/>
    <row r="773" ht="15.75" customHeight="1" s="39"/>
    <row r="774" ht="15.75" customHeight="1" s="39"/>
    <row r="775" ht="15.75" customHeight="1" s="39"/>
    <row r="776" ht="15.75" customHeight="1" s="39"/>
    <row r="777" ht="15.75" customHeight="1" s="39"/>
    <row r="778" ht="15.75" customHeight="1" s="39"/>
    <row r="779" ht="15.75" customHeight="1" s="39"/>
    <row r="780" ht="15.75" customHeight="1" s="39"/>
    <row r="781" ht="15.75" customHeight="1" s="39"/>
    <row r="782" ht="15.75" customHeight="1" s="39"/>
    <row r="783" ht="15.75" customHeight="1" s="39"/>
    <row r="784" ht="15.75" customHeight="1" s="39"/>
    <row r="785" ht="15.75" customHeight="1" s="39"/>
    <row r="786" ht="15.75" customHeight="1" s="39"/>
    <row r="787" ht="15.75" customHeight="1" s="39"/>
    <row r="788" ht="15.75" customHeight="1" s="39"/>
    <row r="789" ht="15.75" customHeight="1" s="39"/>
    <row r="790" ht="15.75" customHeight="1" s="39"/>
    <row r="791" ht="15.75" customHeight="1" s="39"/>
    <row r="792" ht="15.75" customHeight="1" s="39"/>
    <row r="793" ht="15.75" customHeight="1" s="39"/>
    <row r="794" ht="15.75" customHeight="1" s="39"/>
    <row r="795" ht="15.75" customHeight="1" s="39"/>
    <row r="796" ht="15.75" customHeight="1" s="39"/>
    <row r="797" ht="15.75" customHeight="1" s="39"/>
    <row r="798" ht="15.75" customHeight="1" s="39"/>
    <row r="799" ht="15.75" customHeight="1" s="39"/>
    <row r="800" ht="15.75" customHeight="1" s="39"/>
    <row r="801" ht="15.75" customHeight="1" s="39"/>
    <row r="802" ht="15.75" customHeight="1" s="39"/>
    <row r="803" ht="15.75" customHeight="1" s="39"/>
    <row r="804" ht="15.75" customHeight="1" s="39"/>
    <row r="805" ht="15.75" customHeight="1" s="39"/>
    <row r="806" ht="15.75" customHeight="1" s="39"/>
    <row r="807" ht="15.75" customHeight="1" s="39"/>
    <row r="808" ht="15.75" customHeight="1" s="39"/>
    <row r="809" ht="15.75" customHeight="1" s="39"/>
    <row r="810" ht="15.75" customHeight="1" s="39"/>
    <row r="811" ht="15.75" customHeight="1" s="39"/>
    <row r="812" ht="15.75" customHeight="1" s="39"/>
    <row r="813" ht="15.75" customHeight="1" s="39"/>
    <row r="814" ht="15.75" customHeight="1" s="39"/>
    <row r="815" ht="15.75" customHeight="1" s="39"/>
    <row r="816" ht="15.75" customHeight="1" s="39"/>
    <row r="817" ht="15.75" customHeight="1" s="39"/>
    <row r="818" ht="15.75" customHeight="1" s="39"/>
    <row r="819" ht="15.75" customHeight="1" s="39"/>
    <row r="820" ht="15.75" customHeight="1" s="39"/>
    <row r="821" ht="15.75" customHeight="1" s="39"/>
    <row r="822" ht="15.75" customHeight="1" s="39"/>
    <row r="823" ht="15.75" customHeight="1" s="39"/>
    <row r="824" ht="15.75" customHeight="1" s="39"/>
    <row r="825" ht="15.75" customHeight="1" s="39"/>
    <row r="826" ht="15.75" customHeight="1" s="39"/>
    <row r="827" ht="15.75" customHeight="1" s="39"/>
    <row r="828" ht="15.75" customHeight="1" s="39"/>
    <row r="829" ht="15.75" customHeight="1" s="39"/>
    <row r="830" ht="15.75" customHeight="1" s="39"/>
    <row r="831" ht="15.75" customHeight="1" s="39"/>
    <row r="832" ht="15.75" customHeight="1" s="39"/>
    <row r="833" ht="15.75" customHeight="1" s="39"/>
    <row r="834" ht="15.75" customHeight="1" s="39"/>
    <row r="835" ht="15.75" customHeight="1" s="39"/>
    <row r="836" ht="15.75" customHeight="1" s="39"/>
    <row r="837" ht="15.75" customHeight="1" s="39"/>
    <row r="838" ht="15.75" customHeight="1" s="39"/>
    <row r="839" ht="15.75" customHeight="1" s="39"/>
    <row r="840" ht="15.75" customHeight="1" s="39"/>
    <row r="841" ht="15.75" customHeight="1" s="39"/>
    <row r="842" ht="15.75" customHeight="1" s="39"/>
    <row r="843" ht="15.75" customHeight="1" s="39"/>
    <row r="844" ht="15.75" customHeight="1" s="39"/>
    <row r="845" ht="15.75" customHeight="1" s="39"/>
    <row r="846" ht="15.75" customHeight="1" s="39"/>
    <row r="847" ht="15.75" customHeight="1" s="39"/>
    <row r="848" ht="15.75" customHeight="1" s="39"/>
    <row r="849" ht="15.75" customHeight="1" s="39"/>
    <row r="850" ht="15.75" customHeight="1" s="39"/>
    <row r="851" ht="15.75" customHeight="1" s="39"/>
    <row r="852" ht="15.75" customHeight="1" s="39"/>
    <row r="853" ht="15.75" customHeight="1" s="39"/>
    <row r="854" ht="15.75" customHeight="1" s="39"/>
    <row r="855" ht="15.75" customHeight="1" s="39"/>
    <row r="856" ht="15.75" customHeight="1" s="39"/>
    <row r="857" ht="15.75" customHeight="1" s="39"/>
    <row r="858" ht="15.75" customHeight="1" s="39"/>
    <row r="859" ht="15.75" customHeight="1" s="39"/>
    <row r="860" ht="15.75" customHeight="1" s="39"/>
    <row r="861" ht="15.75" customHeight="1" s="39"/>
    <row r="862" ht="15.75" customHeight="1" s="39"/>
    <row r="863" ht="15.75" customHeight="1" s="39"/>
    <row r="864" ht="15.75" customHeight="1" s="39"/>
    <row r="865" ht="15.75" customHeight="1" s="39"/>
    <row r="866" ht="15.75" customHeight="1" s="39"/>
    <row r="867" ht="15.75" customHeight="1" s="39"/>
    <row r="868" ht="15.75" customHeight="1" s="39"/>
    <row r="869" ht="15.75" customHeight="1" s="39"/>
    <row r="870" ht="15.75" customHeight="1" s="39"/>
    <row r="871" ht="15.75" customHeight="1" s="39"/>
    <row r="872" ht="15.75" customHeight="1" s="39"/>
    <row r="873" ht="15.75" customHeight="1" s="39"/>
    <row r="874" ht="15.75" customHeight="1" s="39"/>
    <row r="875" ht="15.75" customHeight="1" s="39"/>
    <row r="876" ht="15.75" customHeight="1" s="39"/>
    <row r="877" ht="15.75" customHeight="1" s="39"/>
    <row r="878" ht="15.75" customHeight="1" s="39"/>
    <row r="879" ht="15.75" customHeight="1" s="39"/>
    <row r="880" ht="15.75" customHeight="1" s="39"/>
    <row r="881" ht="15.75" customHeight="1" s="39"/>
    <row r="882" ht="15.75" customHeight="1" s="39"/>
    <row r="883" ht="15.75" customHeight="1" s="39"/>
    <row r="884" ht="15.75" customHeight="1" s="39"/>
    <row r="885" ht="15.75" customHeight="1" s="39"/>
    <row r="886" ht="15.75" customHeight="1" s="39"/>
    <row r="887" ht="15.75" customHeight="1" s="39"/>
    <row r="888" ht="15.75" customHeight="1" s="39"/>
    <row r="889" ht="15.75" customHeight="1" s="39"/>
    <row r="890" ht="15.75" customHeight="1" s="39"/>
    <row r="891" ht="15.75" customHeight="1" s="39"/>
    <row r="892" ht="15.75" customHeight="1" s="39"/>
    <row r="893" ht="15.75" customHeight="1" s="39"/>
    <row r="894" ht="15.75" customHeight="1" s="39"/>
    <row r="895" ht="15.75" customHeight="1" s="39"/>
    <row r="896" ht="15.75" customHeight="1" s="39"/>
    <row r="897" ht="15.75" customHeight="1" s="39"/>
    <row r="898" ht="15.75" customHeight="1" s="39"/>
    <row r="899" ht="15.75" customHeight="1" s="39"/>
    <row r="900" ht="15.75" customHeight="1" s="39"/>
    <row r="901" ht="15.75" customHeight="1" s="39"/>
    <row r="902" ht="15.75" customHeight="1" s="39"/>
    <row r="903" ht="15.75" customHeight="1" s="39"/>
    <row r="904" ht="15.75" customHeight="1" s="39"/>
    <row r="905" ht="15.75" customHeight="1" s="39"/>
    <row r="906" ht="15.75" customHeight="1" s="39"/>
    <row r="907" ht="15.75" customHeight="1" s="39"/>
    <row r="908" ht="15.75" customHeight="1" s="39"/>
    <row r="909" ht="15.75" customHeight="1" s="39"/>
    <row r="910" ht="15.75" customHeight="1" s="39"/>
    <row r="911" ht="15.75" customHeight="1" s="39"/>
    <row r="912" ht="15.75" customHeight="1" s="39"/>
    <row r="913" ht="15.75" customHeight="1" s="39"/>
    <row r="914" ht="15.75" customHeight="1" s="39"/>
    <row r="915" ht="15.75" customHeight="1" s="39"/>
    <row r="916" ht="15.75" customHeight="1" s="39"/>
    <row r="917" ht="15.75" customHeight="1" s="39"/>
    <row r="918" ht="15.75" customHeight="1" s="39"/>
    <row r="919" ht="15.75" customHeight="1" s="39"/>
    <row r="920" ht="15.75" customHeight="1" s="39"/>
    <row r="921" ht="15.75" customHeight="1" s="39"/>
    <row r="922" ht="15.75" customHeight="1" s="39"/>
    <row r="923" ht="15.75" customHeight="1" s="39"/>
    <row r="924" ht="15.75" customHeight="1" s="39"/>
    <row r="925" ht="15.75" customHeight="1" s="39"/>
    <row r="926" ht="15.75" customHeight="1" s="39"/>
    <row r="927" ht="15.75" customHeight="1" s="39"/>
    <row r="928" ht="15.75" customHeight="1" s="39"/>
    <row r="929" ht="15.75" customHeight="1" s="39"/>
    <row r="930" ht="15.75" customHeight="1" s="39"/>
    <row r="931" ht="15.75" customHeight="1" s="39"/>
    <row r="932" ht="15.75" customHeight="1" s="39"/>
    <row r="933" ht="15.75" customHeight="1" s="39"/>
    <row r="934" ht="15.75" customHeight="1" s="39"/>
    <row r="935" ht="15.75" customHeight="1" s="39"/>
    <row r="936" ht="15.75" customHeight="1" s="39"/>
    <row r="937" ht="15.75" customHeight="1" s="39"/>
    <row r="938" ht="15.75" customHeight="1" s="39"/>
    <row r="939" ht="15.75" customHeight="1" s="39"/>
    <row r="940" ht="15.75" customHeight="1" s="39"/>
    <row r="941" ht="15.75" customHeight="1" s="39"/>
    <row r="942" ht="15.75" customHeight="1" s="39"/>
    <row r="943" ht="15.75" customHeight="1" s="39"/>
    <row r="944" ht="15.75" customHeight="1" s="39"/>
    <row r="945" ht="15.75" customHeight="1" s="39"/>
    <row r="946" ht="15.75" customHeight="1" s="39"/>
    <row r="947" ht="15.75" customHeight="1" s="39"/>
    <row r="948" ht="15.75" customHeight="1" s="39"/>
    <row r="949" ht="15.75" customHeight="1" s="39"/>
    <row r="950" ht="15.75" customHeight="1" s="39"/>
    <row r="951" ht="15.75" customHeight="1" s="39"/>
    <row r="952" ht="15.75" customHeight="1" s="39"/>
    <row r="953" ht="15.75" customHeight="1" s="39"/>
    <row r="954" ht="15.75" customHeight="1" s="39"/>
    <row r="955" ht="15.75" customHeight="1" s="39"/>
    <row r="956" ht="15.75" customHeight="1" s="39"/>
    <row r="957" ht="15.75" customHeight="1" s="39"/>
    <row r="958" ht="15.75" customHeight="1" s="39"/>
    <row r="959" ht="15.75" customHeight="1" s="39"/>
    <row r="960" ht="15.75" customHeight="1" s="39"/>
    <row r="961" ht="15.75" customHeight="1" s="39"/>
    <row r="962" ht="15.75" customHeight="1" s="39"/>
    <row r="963" ht="15.75" customHeight="1" s="39"/>
    <row r="964" ht="15.75" customHeight="1" s="39"/>
    <row r="965" ht="15.75" customHeight="1" s="39"/>
    <row r="966" ht="15.75" customHeight="1" s="39"/>
    <row r="967" ht="15.75" customHeight="1" s="39"/>
    <row r="968" ht="15.75" customHeight="1" s="39"/>
    <row r="969" ht="15.75" customHeight="1" s="39"/>
    <row r="970" ht="15.75" customHeight="1" s="39"/>
    <row r="971" ht="15.75" customHeight="1" s="39"/>
    <row r="972" ht="15.75" customHeight="1" s="39"/>
    <row r="973" ht="15.75" customHeight="1" s="39"/>
    <row r="974" ht="15.75" customHeight="1" s="39"/>
    <row r="975" ht="15.75" customHeight="1" s="39"/>
    <row r="976" ht="15.75" customHeight="1" s="39"/>
    <row r="977" ht="15.75" customHeight="1" s="39"/>
    <row r="978" ht="15.75" customHeight="1" s="39"/>
    <row r="979" ht="15.75" customHeight="1" s="39"/>
    <row r="980" ht="15.75" customHeight="1" s="39"/>
    <row r="981" ht="15.75" customHeight="1" s="39"/>
    <row r="982" ht="15.75" customHeight="1" s="39"/>
    <row r="983" ht="15.75" customHeight="1" s="39"/>
    <row r="984" ht="15.75" customHeight="1" s="39"/>
    <row r="985" ht="15.75" customHeight="1" s="39"/>
    <row r="986" ht="15.75" customHeight="1" s="39"/>
    <row r="987" ht="15.75" customHeight="1" s="39"/>
    <row r="988" ht="15.75" customHeight="1" s="39"/>
    <row r="989" ht="15.75" customHeight="1" s="39"/>
    <row r="990" ht="15.75" customHeight="1" s="39"/>
    <row r="991" ht="15.75" customHeight="1" s="39"/>
    <row r="992" ht="15.75" customHeight="1" s="39"/>
    <row r="993" ht="15.75" customHeight="1" s="39"/>
    <row r="994" ht="15.75" customHeight="1" s="39"/>
    <row r="995" ht="15.75" customHeight="1" s="39"/>
    <row r="996" ht="15.75" customHeight="1" s="39"/>
    <row r="997" ht="15.75" customHeight="1" s="39"/>
    <row r="998" ht="15.75" customHeight="1" s="39"/>
    <row r="999" ht="15.75" customHeight="1" s="39"/>
    <row r="1000" ht="15.75" customHeight="1" s="39"/>
  </sheetData>
  <mergeCells count="2">
    <mergeCell ref="A1:D1"/>
    <mergeCell ref="A2:D2"/>
  </mergeCells>
  <pageMargins left="0.75" right="0.75" top="1" bottom="1" header="0" footer="0"/>
  <pageSetup orientation="landscape"/>
</worksheet>
</file>

<file path=xl/worksheets/sheet13.xml><?xml version="1.0" encoding="utf-8"?>
<worksheet xmlns="http://schemas.openxmlformats.org/spreadsheetml/2006/main">
  <sheetPr>
    <tabColor rgb="002F5496"/>
    <outlinePr summaryBelow="1" summaryRight="1"/>
    <pageSetUpPr/>
  </sheetPr>
  <dimension ref="A1:J57"/>
  <sheetViews>
    <sheetView workbookViewId="0">
      <selection activeCell="A1" sqref="A1"/>
    </sheetView>
  </sheetViews>
  <sheetFormatPr baseColWidth="8" defaultRowHeight="15"/>
  <cols>
    <col width="34" customWidth="1" style="39" min="1" max="1"/>
    <col width="14" customWidth="1" style="39" min="2" max="2"/>
    <col width="52" customWidth="1" style="39" min="3" max="3"/>
    <col width="8" customWidth="1" style="39" min="5" max="5"/>
    <col width="9" customWidth="1" style="39" min="6" max="6"/>
  </cols>
  <sheetData>
    <row r="1">
      <c r="A1" s="42" t="inlineStr">
        <is>
          <t>Sue — MTRS Pension Calculator (Massachusetts Teachers' Retirement System)</t>
        </is>
      </c>
    </row>
    <row r="2" ht="42" customHeight="1" s="39">
      <c r="A2" s="43" t="inlineStr">
        <is>
          <t>Membership Tier 1 confirmed — both 2003 and 2010 predate the 4/2/2012 Tier 2 cutoff. YELLOW = confirm in MyTRS  •  ORANGE = scenario inputs  •  Not affiliated with MTRS; verify against the official MTRS estimator before relying on any figure.</t>
        </is>
      </c>
    </row>
    <row r="4">
      <c r="A4" s="44" t="inlineStr">
        <is>
          <t>① CONFIRM IN MyTRS  (mtrs.state.ma.us)</t>
        </is>
      </c>
      <c r="B4" s="45" t="n"/>
      <c r="C4" s="45" t="n"/>
    </row>
    <row r="5">
      <c r="A5" t="inlineStr">
        <is>
          <t>Effective membership date (year)</t>
        </is>
      </c>
      <c r="B5" s="46" t="n">
        <v>2003</v>
      </c>
      <c r="C5" s="47" t="inlineStr">
        <is>
          <t>2003 if funds left on account; 2010 if she took a refund &amp; rejoined. Either way = Tier 1.</t>
        </is>
      </c>
    </row>
    <row r="6">
      <c r="A6" t="inlineStr">
        <is>
          <t>Current creditable service (yrs, today)</t>
        </is>
      </c>
      <c r="B6" s="48" t="n">
        <v>16</v>
      </c>
      <c r="C6" s="47" t="inlineStr">
        <is>
          <t>~16 if she refunded the 2003–07 years; ~20 if that service is still on account. MyTRS shows the exact figure.</t>
        </is>
      </c>
    </row>
    <row r="7">
      <c r="A7" t="inlineStr">
        <is>
          <t>RetirementPlus participant? (Y/N)</t>
        </is>
      </c>
      <c r="B7" s="46" t="inlineStr">
        <is>
          <t>Y</t>
        </is>
      </c>
      <c r="C7" s="47" t="inlineStr">
        <is>
          <t>Auto-YES: joined post-7/1/2001 → mandatory R+ at 11%. A flat 11% on her paystub confirms it.</t>
        </is>
      </c>
    </row>
    <row r="8">
      <c r="A8" t="inlineStr">
        <is>
          <t>Years as MTRS teacher (R+ 20-yr test)</t>
        </is>
      </c>
      <c r="B8" s="48" t="n">
        <v>16</v>
      </c>
      <c r="C8" s="47" t="inlineStr">
        <is>
          <t>Almost all her creditable service is teacher service; used only for the R+ 20-year test.</t>
        </is>
      </c>
    </row>
    <row r="10">
      <c r="A10" s="44" t="inlineStr">
        <is>
          <t>② SCENARIO INPUTS</t>
        </is>
      </c>
      <c r="B10" s="45" t="n"/>
      <c r="C10" s="45" t="n"/>
    </row>
    <row r="11">
      <c r="A11" t="inlineStr">
        <is>
          <t>Sue's current age</t>
        </is>
      </c>
      <c r="B11" s="49" t="n">
        <v>45</v>
      </c>
    </row>
    <row r="12">
      <c r="A12" t="inlineStr">
        <is>
          <t>Current calendar year</t>
        </is>
      </c>
      <c r="B12" s="49" t="n">
        <v>2026</v>
      </c>
    </row>
    <row r="13">
      <c r="A13" t="inlineStr">
        <is>
          <t>Current annual salary ($)</t>
        </is>
      </c>
      <c r="B13" s="50" t="n">
        <v>85000</v>
      </c>
      <c r="C13" s="47" t="inlineStr">
        <is>
          <t>Enter Sue's actual salary.</t>
        </is>
      </c>
    </row>
    <row r="14">
      <c r="A14" t="inlineStr">
        <is>
          <t>Expected annual raise (%)</t>
        </is>
      </c>
      <c r="B14" s="51" t="n">
        <v>0.02</v>
      </c>
    </row>
    <row r="15">
      <c r="A15" t="inlineStr">
        <is>
          <t>Planned retirement age (scenario)</t>
        </is>
      </c>
      <c r="B15" s="49" t="n">
        <v>60</v>
      </c>
    </row>
    <row r="16">
      <c r="A16" t="inlineStr">
        <is>
          <t>Buy-back: early years to restore</t>
        </is>
      </c>
      <c r="B16" s="52" t="n">
        <v>0</v>
      </c>
      <c r="C16" s="47" t="inlineStr">
        <is>
          <t>If she refunded 2003–07, she can repay to restore ~4–5 yrs. Try 4 to see the effect.</t>
        </is>
      </c>
    </row>
    <row r="18">
      <c r="A18" s="44" t="inlineStr">
        <is>
          <t>③ TIER 1 RULES  (reference — do not edit)</t>
        </is>
      </c>
      <c r="B18" s="45" t="n"/>
      <c r="C18" s="45" t="n"/>
      <c r="E18" s="53" t="inlineStr">
        <is>
          <t>Age</t>
        </is>
      </c>
      <c r="F18" s="53" t="inlineStr">
        <is>
          <t>Factor</t>
        </is>
      </c>
    </row>
    <row r="19">
      <c r="A19" t="inlineStr">
        <is>
          <t>Membership tier</t>
        </is>
      </c>
      <c r="B19" s="54" t="inlineStr">
        <is>
          <t>Tier 1</t>
        </is>
      </c>
      <c r="E19" s="55" t="n">
        <v>55</v>
      </c>
      <c r="F19" s="56" t="n">
        <v>0.015</v>
      </c>
    </row>
    <row r="20">
      <c r="A20" t="inlineStr">
        <is>
          <t>Salary average period</t>
        </is>
      </c>
      <c r="B20" s="54" t="inlineStr">
        <is>
          <t>Highest 3 yrs</t>
        </is>
      </c>
      <c r="E20" s="55" t="n">
        <v>56</v>
      </c>
      <c r="F20" s="56" t="n">
        <v>0.016</v>
      </c>
    </row>
    <row r="21">
      <c r="A21" t="inlineStr">
        <is>
          <t>Maximum benefit cap</t>
        </is>
      </c>
      <c r="B21" s="57" t="n">
        <v>0.8</v>
      </c>
      <c r="E21" s="55" t="n">
        <v>57</v>
      </c>
      <c r="F21" s="56" t="n">
        <v>0.017</v>
      </c>
    </row>
    <row r="22">
      <c r="A22" t="inlineStr">
        <is>
          <t>R+ enhancement</t>
        </is>
      </c>
      <c r="B22" s="54" t="inlineStr">
        <is>
          <t>+2%/yr over 24 yrs</t>
        </is>
      </c>
      <c r="C22" s="47" t="inlineStr">
        <is>
          <t>Requires ≥30 yrs creditable, ≥20 as teacher, 11% for 5+ yrs.</t>
        </is>
      </c>
      <c r="E22" s="55" t="n">
        <v>58</v>
      </c>
      <c r="F22" s="56" t="n">
        <v>0.018</v>
      </c>
    </row>
    <row r="23">
      <c r="A23" t="inlineStr">
        <is>
          <t>Min retirement age (Tier 1)</t>
        </is>
      </c>
      <c r="B23" s="54" t="n">
        <v>55</v>
      </c>
      <c r="E23" s="55" t="n">
        <v>59</v>
      </c>
      <c r="F23" s="56" t="n">
        <v>0.019</v>
      </c>
    </row>
    <row r="24">
      <c r="E24" s="55" t="n">
        <v>60</v>
      </c>
      <c r="F24" s="56" t="n">
        <v>0.02</v>
      </c>
    </row>
    <row r="25">
      <c r="A25" s="44" t="inlineStr">
        <is>
          <t>④ RESULT AT PLANNED RETIREMENT AGE</t>
        </is>
      </c>
      <c r="B25" s="45" t="n"/>
      <c r="C25" s="45" t="n"/>
      <c r="E25" s="55" t="n">
        <v>61</v>
      </c>
      <c r="F25" s="56" t="n">
        <v>0.021</v>
      </c>
    </row>
    <row r="26">
      <c r="A26" t="inlineStr">
        <is>
          <t>Creditable service at retirement</t>
        </is>
      </c>
      <c r="B26" s="58">
        <f>B6+(B15-B11)+B16</f>
        <v/>
      </c>
      <c r="E26" s="55" t="n">
        <v>62</v>
      </c>
      <c r="F26" s="56" t="n">
        <v>0.022</v>
      </c>
    </row>
    <row r="27">
      <c r="A27" t="inlineStr">
        <is>
          <t>Age factor at retirement</t>
        </is>
      </c>
      <c r="B27" s="59">
        <f>IF(B15&lt;55,0,IF(B15&gt;=65,0.025,0.015+(B15-55)*0.001))</f>
        <v/>
      </c>
      <c r="E27" s="55" t="n">
        <v>63</v>
      </c>
      <c r="F27" s="56" t="n">
        <v>0.023</v>
      </c>
    </row>
    <row r="28">
      <c r="A28" t="inlineStr">
        <is>
          <t>Salary average (3-yr, est.) $</t>
        </is>
      </c>
      <c r="B28" s="60">
        <f>B13*((1+B14)^(B15-B11)+(1+B14)^(B15-B11-1)+(1+B14)^(B15-B11-2))/3</f>
        <v/>
      </c>
      <c r="E28" s="55" t="n">
        <v>64</v>
      </c>
      <c r="F28" s="56" t="n">
        <v>0.024</v>
      </c>
    </row>
    <row r="29">
      <c r="A29" t="inlineStr">
        <is>
          <t>Regular formula benefit %</t>
        </is>
      </c>
      <c r="B29" s="59">
        <f>MIN($B$21,B27*B26)</f>
        <v/>
      </c>
      <c r="E29" s="55" t="n">
        <v>65</v>
      </c>
      <c r="F29" s="56" t="n">
        <v>0.025</v>
      </c>
    </row>
    <row r="30">
      <c r="A30" t="inlineStr">
        <is>
          <t>R+ eligible?</t>
        </is>
      </c>
      <c r="B30" s="61">
        <f>IF(AND($B$7="Y",B26&gt;=30,B8+(B15-B11)&gt;=20),"Yes","No")</f>
        <v/>
      </c>
    </row>
    <row r="31">
      <c r="A31" t="inlineStr">
        <is>
          <t>R+ formula benefit %</t>
        </is>
      </c>
      <c r="B31" s="59">
        <f>MIN($B$21,B27*B26+0.02*MAX(0,B26-24))</f>
        <v/>
      </c>
    </row>
    <row r="32">
      <c r="A32" t="inlineStr">
        <is>
          <t>Applied benefit %</t>
        </is>
      </c>
      <c r="B32" s="62">
        <f>IF(B30="Yes",B31,B29)</f>
        <v/>
      </c>
    </row>
    <row r="33">
      <c r="A33" s="63" t="inlineStr">
        <is>
          <t>ANNUAL PENSION ($)</t>
        </is>
      </c>
      <c r="B33" s="64">
        <f>B32*B28</f>
        <v/>
      </c>
    </row>
    <row r="34">
      <c r="A34" t="inlineStr">
        <is>
          <t>Monthly pension ($)</t>
        </is>
      </c>
      <c r="B34" s="60">
        <f>B33/12</f>
        <v/>
      </c>
    </row>
    <row r="36">
      <c r="A36" s="44" t="inlineStr">
        <is>
          <t>⑤ PROJECTION BY RETIREMENT AGE  (finds the earliest 80% cap)</t>
        </is>
      </c>
      <c r="B36" s="45" t="n"/>
      <c r="C36" s="45" t="n"/>
      <c r="D36" s="45" t="n"/>
      <c r="E36" s="45" t="n"/>
      <c r="F36" s="45" t="n"/>
      <c r="G36" s="45" t="n"/>
      <c r="H36" s="45" t="n"/>
      <c r="I36" s="45" t="n"/>
      <c r="J36" s="45" t="n"/>
    </row>
    <row r="37" ht="30" customHeight="1" s="39">
      <c r="A37" s="65" t="inlineStr">
        <is>
          <t>Retire age</t>
        </is>
      </c>
      <c r="B37" s="65" t="inlineStr">
        <is>
          <t>Year</t>
        </is>
      </c>
      <c r="C37" s="65" t="inlineStr">
        <is>
          <t>Cred. svc</t>
        </is>
      </c>
      <c r="D37" s="65" t="inlineStr">
        <is>
          <t>Age factor</t>
        </is>
      </c>
      <c r="E37" s="65" t="inlineStr">
        <is>
          <t>Regular %</t>
        </is>
      </c>
      <c r="F37" s="65" t="inlineStr">
        <is>
          <t>R+ elig?</t>
        </is>
      </c>
      <c r="G37" s="65" t="inlineStr">
        <is>
          <t>R+ %</t>
        </is>
      </c>
      <c r="H37" s="65" t="inlineStr">
        <is>
          <t>Applied %</t>
        </is>
      </c>
      <c r="I37" s="65" t="inlineStr">
        <is>
          <t>Annual pension $</t>
        </is>
      </c>
      <c r="J37" s="65" t="inlineStr">
        <is>
          <t>80% cap?</t>
        </is>
      </c>
    </row>
    <row r="38">
      <c r="A38" s="55" t="n">
        <v>55</v>
      </c>
      <c r="B38" s="55">
        <f>$B$12+(A38-$B$11)</f>
        <v/>
      </c>
      <c r="C38" s="66">
        <f>$B$6+(A38-$B$11)+$B$16</f>
        <v/>
      </c>
      <c r="D38" s="56">
        <f>IF(A38&lt;55,0,IF(A38&gt;=65,0.025,0.015+(A38-55)*0.001))</f>
        <v/>
      </c>
      <c r="E38" s="56">
        <f>MIN($B$21,D38*C38)</f>
        <v/>
      </c>
      <c r="F38" s="55">
        <f>IF(AND($B$7="Y",C38&gt;=30,$B$8+(A38-$B$11)&gt;=20),"Y","N")</f>
        <v/>
      </c>
      <c r="G38" s="56">
        <f>MIN($B$21,D38*C38+0.02*MAX(0,C38-24))</f>
        <v/>
      </c>
      <c r="H38" s="67">
        <f>IF(F38="Y",G38,E38)</f>
        <v/>
      </c>
      <c r="I38" s="68">
        <f>H38*($B$13*((1+$B$14)^(A38-$B$11)+(1+$B$14)^(A38-$B$11-1)+(1+$B$14)^(A38-$B$11-2))/3)</f>
        <v/>
      </c>
      <c r="J38" s="55">
        <f>IF(H38&gt;=$B$21,"◄ 80% CAP","")</f>
        <v/>
      </c>
    </row>
    <row r="39">
      <c r="A39" s="55" t="n">
        <v>56</v>
      </c>
      <c r="B39" s="55">
        <f>$B$12+(A39-$B$11)</f>
        <v/>
      </c>
      <c r="C39" s="66">
        <f>$B$6+(A39-$B$11)+$B$16</f>
        <v/>
      </c>
      <c r="D39" s="56">
        <f>IF(A39&lt;55,0,IF(A39&gt;=65,0.025,0.015+(A39-55)*0.001))</f>
        <v/>
      </c>
      <c r="E39" s="56">
        <f>MIN($B$21,D39*C39)</f>
        <v/>
      </c>
      <c r="F39" s="55">
        <f>IF(AND($B$7="Y",C39&gt;=30,$B$8+(A39-$B$11)&gt;=20),"Y","N")</f>
        <v/>
      </c>
      <c r="G39" s="56">
        <f>MIN($B$21,D39*C39+0.02*MAX(0,C39-24))</f>
        <v/>
      </c>
      <c r="H39" s="67">
        <f>IF(F39="Y",G39,E39)</f>
        <v/>
      </c>
      <c r="I39" s="68">
        <f>H39*($B$13*((1+$B$14)^(A39-$B$11)+(1+$B$14)^(A39-$B$11-1)+(1+$B$14)^(A39-$B$11-2))/3)</f>
        <v/>
      </c>
      <c r="J39" s="55">
        <f>IF(H39&gt;=$B$21,"◄ 80% CAP","")</f>
        <v/>
      </c>
    </row>
    <row r="40">
      <c r="A40" s="55" t="n">
        <v>57</v>
      </c>
      <c r="B40" s="55">
        <f>$B$12+(A40-$B$11)</f>
        <v/>
      </c>
      <c r="C40" s="66">
        <f>$B$6+(A40-$B$11)+$B$16</f>
        <v/>
      </c>
      <c r="D40" s="56">
        <f>IF(A40&lt;55,0,IF(A40&gt;=65,0.025,0.015+(A40-55)*0.001))</f>
        <v/>
      </c>
      <c r="E40" s="56">
        <f>MIN($B$21,D40*C40)</f>
        <v/>
      </c>
      <c r="F40" s="55">
        <f>IF(AND($B$7="Y",C40&gt;=30,$B$8+(A40-$B$11)&gt;=20),"Y","N")</f>
        <v/>
      </c>
      <c r="G40" s="56">
        <f>MIN($B$21,D40*C40+0.02*MAX(0,C40-24))</f>
        <v/>
      </c>
      <c r="H40" s="67">
        <f>IF(F40="Y",G40,E40)</f>
        <v/>
      </c>
      <c r="I40" s="68">
        <f>H40*($B$13*((1+$B$14)^(A40-$B$11)+(1+$B$14)^(A40-$B$11-1)+(1+$B$14)^(A40-$B$11-2))/3)</f>
        <v/>
      </c>
      <c r="J40" s="55">
        <f>IF(H40&gt;=$B$21,"◄ 80% CAP","")</f>
        <v/>
      </c>
    </row>
    <row r="41">
      <c r="A41" s="55" t="n">
        <v>58</v>
      </c>
      <c r="B41" s="55">
        <f>$B$12+(A41-$B$11)</f>
        <v/>
      </c>
      <c r="C41" s="66">
        <f>$B$6+(A41-$B$11)+$B$16</f>
        <v/>
      </c>
      <c r="D41" s="56">
        <f>IF(A41&lt;55,0,IF(A41&gt;=65,0.025,0.015+(A41-55)*0.001))</f>
        <v/>
      </c>
      <c r="E41" s="56">
        <f>MIN($B$21,D41*C41)</f>
        <v/>
      </c>
      <c r="F41" s="55">
        <f>IF(AND($B$7="Y",C41&gt;=30,$B$8+(A41-$B$11)&gt;=20),"Y","N")</f>
        <v/>
      </c>
      <c r="G41" s="56">
        <f>MIN($B$21,D41*C41+0.02*MAX(0,C41-24))</f>
        <v/>
      </c>
      <c r="H41" s="67">
        <f>IF(F41="Y",G41,E41)</f>
        <v/>
      </c>
      <c r="I41" s="68">
        <f>H41*($B$13*((1+$B$14)^(A41-$B$11)+(1+$B$14)^(A41-$B$11-1)+(1+$B$14)^(A41-$B$11-2))/3)</f>
        <v/>
      </c>
      <c r="J41" s="55">
        <f>IF(H41&gt;=$B$21,"◄ 80% CAP","")</f>
        <v/>
      </c>
    </row>
    <row r="42">
      <c r="A42" s="55" t="n">
        <v>59</v>
      </c>
      <c r="B42" s="55">
        <f>$B$12+(A42-$B$11)</f>
        <v/>
      </c>
      <c r="C42" s="66">
        <f>$B$6+(A42-$B$11)+$B$16</f>
        <v/>
      </c>
      <c r="D42" s="56">
        <f>IF(A42&lt;55,0,IF(A42&gt;=65,0.025,0.015+(A42-55)*0.001))</f>
        <v/>
      </c>
      <c r="E42" s="56">
        <f>MIN($B$21,D42*C42)</f>
        <v/>
      </c>
      <c r="F42" s="55">
        <f>IF(AND($B$7="Y",C42&gt;=30,$B$8+(A42-$B$11)&gt;=20),"Y","N")</f>
        <v/>
      </c>
      <c r="G42" s="56">
        <f>MIN($B$21,D42*C42+0.02*MAX(0,C42-24))</f>
        <v/>
      </c>
      <c r="H42" s="67">
        <f>IF(F42="Y",G42,E42)</f>
        <v/>
      </c>
      <c r="I42" s="68">
        <f>H42*($B$13*((1+$B$14)^(A42-$B$11)+(1+$B$14)^(A42-$B$11-1)+(1+$B$14)^(A42-$B$11-2))/3)</f>
        <v/>
      </c>
      <c r="J42" s="55">
        <f>IF(H42&gt;=$B$21,"◄ 80% CAP","")</f>
        <v/>
      </c>
    </row>
    <row r="43">
      <c r="A43" s="55" t="n">
        <v>60</v>
      </c>
      <c r="B43" s="55">
        <f>$B$12+(A43-$B$11)</f>
        <v/>
      </c>
      <c r="C43" s="66">
        <f>$B$6+(A43-$B$11)+$B$16</f>
        <v/>
      </c>
      <c r="D43" s="56">
        <f>IF(A43&lt;55,0,IF(A43&gt;=65,0.025,0.015+(A43-55)*0.001))</f>
        <v/>
      </c>
      <c r="E43" s="56">
        <f>MIN($B$21,D43*C43)</f>
        <v/>
      </c>
      <c r="F43" s="55">
        <f>IF(AND($B$7="Y",C43&gt;=30,$B$8+(A43-$B$11)&gt;=20),"Y","N")</f>
        <v/>
      </c>
      <c r="G43" s="56">
        <f>MIN($B$21,D43*C43+0.02*MAX(0,C43-24))</f>
        <v/>
      </c>
      <c r="H43" s="67">
        <f>IF(F43="Y",G43,E43)</f>
        <v/>
      </c>
      <c r="I43" s="68">
        <f>H43*($B$13*((1+$B$14)^(A43-$B$11)+(1+$B$14)^(A43-$B$11-1)+(1+$B$14)^(A43-$B$11-2))/3)</f>
        <v/>
      </c>
      <c r="J43" s="55">
        <f>IF(H43&gt;=$B$21,"◄ 80% CAP","")</f>
        <v/>
      </c>
    </row>
    <row r="44">
      <c r="A44" s="55" t="n">
        <v>61</v>
      </c>
      <c r="B44" s="55">
        <f>$B$12+(A44-$B$11)</f>
        <v/>
      </c>
      <c r="C44" s="66">
        <f>$B$6+(A44-$B$11)+$B$16</f>
        <v/>
      </c>
      <c r="D44" s="56">
        <f>IF(A44&lt;55,0,IF(A44&gt;=65,0.025,0.015+(A44-55)*0.001))</f>
        <v/>
      </c>
      <c r="E44" s="56">
        <f>MIN($B$21,D44*C44)</f>
        <v/>
      </c>
      <c r="F44" s="55">
        <f>IF(AND($B$7="Y",C44&gt;=30,$B$8+(A44-$B$11)&gt;=20),"Y","N")</f>
        <v/>
      </c>
      <c r="G44" s="56">
        <f>MIN($B$21,D44*C44+0.02*MAX(0,C44-24))</f>
        <v/>
      </c>
      <c r="H44" s="67">
        <f>IF(F44="Y",G44,E44)</f>
        <v/>
      </c>
      <c r="I44" s="68">
        <f>H44*($B$13*((1+$B$14)^(A44-$B$11)+(1+$B$14)^(A44-$B$11-1)+(1+$B$14)^(A44-$B$11-2))/3)</f>
        <v/>
      </c>
      <c r="J44" s="55">
        <f>IF(H44&gt;=$B$21,"◄ 80% CAP","")</f>
        <v/>
      </c>
    </row>
    <row r="45">
      <c r="A45" s="55" t="n">
        <v>62</v>
      </c>
      <c r="B45" s="55">
        <f>$B$12+(A45-$B$11)</f>
        <v/>
      </c>
      <c r="C45" s="66">
        <f>$B$6+(A45-$B$11)+$B$16</f>
        <v/>
      </c>
      <c r="D45" s="56">
        <f>IF(A45&lt;55,0,IF(A45&gt;=65,0.025,0.015+(A45-55)*0.001))</f>
        <v/>
      </c>
      <c r="E45" s="56">
        <f>MIN($B$21,D45*C45)</f>
        <v/>
      </c>
      <c r="F45" s="55">
        <f>IF(AND($B$7="Y",C45&gt;=30,$B$8+(A45-$B$11)&gt;=20),"Y","N")</f>
        <v/>
      </c>
      <c r="G45" s="56">
        <f>MIN($B$21,D45*C45+0.02*MAX(0,C45-24))</f>
        <v/>
      </c>
      <c r="H45" s="67">
        <f>IF(F45="Y",G45,E45)</f>
        <v/>
      </c>
      <c r="I45" s="68">
        <f>H45*($B$13*((1+$B$14)^(A45-$B$11)+(1+$B$14)^(A45-$B$11-1)+(1+$B$14)^(A45-$B$11-2))/3)</f>
        <v/>
      </c>
      <c r="J45" s="55">
        <f>IF(H45&gt;=$B$21,"◄ 80% CAP","")</f>
        <v/>
      </c>
    </row>
    <row r="46">
      <c r="A46" s="55" t="n">
        <v>63</v>
      </c>
      <c r="B46" s="55">
        <f>$B$12+(A46-$B$11)</f>
        <v/>
      </c>
      <c r="C46" s="66">
        <f>$B$6+(A46-$B$11)+$B$16</f>
        <v/>
      </c>
      <c r="D46" s="56">
        <f>IF(A46&lt;55,0,IF(A46&gt;=65,0.025,0.015+(A46-55)*0.001))</f>
        <v/>
      </c>
      <c r="E46" s="56">
        <f>MIN($B$21,D46*C46)</f>
        <v/>
      </c>
      <c r="F46" s="55">
        <f>IF(AND($B$7="Y",C46&gt;=30,$B$8+(A46-$B$11)&gt;=20),"Y","N")</f>
        <v/>
      </c>
      <c r="G46" s="56">
        <f>MIN($B$21,D46*C46+0.02*MAX(0,C46-24))</f>
        <v/>
      </c>
      <c r="H46" s="67">
        <f>IF(F46="Y",G46,E46)</f>
        <v/>
      </c>
      <c r="I46" s="68">
        <f>H46*($B$13*((1+$B$14)^(A46-$B$11)+(1+$B$14)^(A46-$B$11-1)+(1+$B$14)^(A46-$B$11-2))/3)</f>
        <v/>
      </c>
      <c r="J46" s="55">
        <f>IF(H46&gt;=$B$21,"◄ 80% CAP","")</f>
        <v/>
      </c>
    </row>
    <row r="47">
      <c r="A47" s="55" t="n">
        <v>64</v>
      </c>
      <c r="B47" s="55">
        <f>$B$12+(A47-$B$11)</f>
        <v/>
      </c>
      <c r="C47" s="66">
        <f>$B$6+(A47-$B$11)+$B$16</f>
        <v/>
      </c>
      <c r="D47" s="56">
        <f>IF(A47&lt;55,0,IF(A47&gt;=65,0.025,0.015+(A47-55)*0.001))</f>
        <v/>
      </c>
      <c r="E47" s="56">
        <f>MIN($B$21,D47*C47)</f>
        <v/>
      </c>
      <c r="F47" s="55">
        <f>IF(AND($B$7="Y",C47&gt;=30,$B$8+(A47-$B$11)&gt;=20),"Y","N")</f>
        <v/>
      </c>
      <c r="G47" s="56">
        <f>MIN($B$21,D47*C47+0.02*MAX(0,C47-24))</f>
        <v/>
      </c>
      <c r="H47" s="67">
        <f>IF(F47="Y",G47,E47)</f>
        <v/>
      </c>
      <c r="I47" s="68">
        <f>H47*($B$13*((1+$B$14)^(A47-$B$11)+(1+$B$14)^(A47-$B$11-1)+(1+$B$14)^(A47-$B$11-2))/3)</f>
        <v/>
      </c>
      <c r="J47" s="55">
        <f>IF(H47&gt;=$B$21,"◄ 80% CAP","")</f>
        <v/>
      </c>
    </row>
    <row r="48">
      <c r="A48" s="55" t="n">
        <v>65</v>
      </c>
      <c r="B48" s="55">
        <f>$B$12+(A48-$B$11)</f>
        <v/>
      </c>
      <c r="C48" s="66">
        <f>$B$6+(A48-$B$11)+$B$16</f>
        <v/>
      </c>
      <c r="D48" s="56">
        <f>IF(A48&lt;55,0,IF(A48&gt;=65,0.025,0.015+(A48-55)*0.001))</f>
        <v/>
      </c>
      <c r="E48" s="56">
        <f>MIN($B$21,D48*C48)</f>
        <v/>
      </c>
      <c r="F48" s="55">
        <f>IF(AND($B$7="Y",C48&gt;=30,$B$8+(A48-$B$11)&gt;=20),"Y","N")</f>
        <v/>
      </c>
      <c r="G48" s="56">
        <f>MIN($B$21,D48*C48+0.02*MAX(0,C48-24))</f>
        <v/>
      </c>
      <c r="H48" s="67">
        <f>IF(F48="Y",G48,E48)</f>
        <v/>
      </c>
      <c r="I48" s="68">
        <f>H48*($B$13*((1+$B$14)^(A48-$B$11)+(1+$B$14)^(A48-$B$11-1)+(1+$B$14)^(A48-$B$11-2))/3)</f>
        <v/>
      </c>
      <c r="J48" s="55">
        <f>IF(H48&gt;=$B$21,"◄ 80% CAP","")</f>
        <v/>
      </c>
    </row>
    <row r="49">
      <c r="A49" s="55" t="n">
        <v>66</v>
      </c>
      <c r="B49" s="55">
        <f>$B$12+(A49-$B$11)</f>
        <v/>
      </c>
      <c r="C49" s="66">
        <f>$B$6+(A49-$B$11)+$B$16</f>
        <v/>
      </c>
      <c r="D49" s="56">
        <f>IF(A49&lt;55,0,IF(A49&gt;=65,0.025,0.015+(A49-55)*0.001))</f>
        <v/>
      </c>
      <c r="E49" s="56">
        <f>MIN($B$21,D49*C49)</f>
        <v/>
      </c>
      <c r="F49" s="55">
        <f>IF(AND($B$7="Y",C49&gt;=30,$B$8+(A49-$B$11)&gt;=20),"Y","N")</f>
        <v/>
      </c>
      <c r="G49" s="56">
        <f>MIN($B$21,D49*C49+0.02*MAX(0,C49-24))</f>
        <v/>
      </c>
      <c r="H49" s="67">
        <f>IF(F49="Y",G49,E49)</f>
        <v/>
      </c>
      <c r="I49" s="68">
        <f>H49*($B$13*((1+$B$14)^(A49-$B$11)+(1+$B$14)^(A49-$B$11-1)+(1+$B$14)^(A49-$B$11-2))/3)</f>
        <v/>
      </c>
      <c r="J49" s="55">
        <f>IF(H49&gt;=$B$21,"◄ 80% CAP","")</f>
        <v/>
      </c>
    </row>
    <row r="50">
      <c r="A50" s="55" t="n">
        <v>67</v>
      </c>
      <c r="B50" s="55">
        <f>$B$12+(A50-$B$11)</f>
        <v/>
      </c>
      <c r="C50" s="66">
        <f>$B$6+(A50-$B$11)+$B$16</f>
        <v/>
      </c>
      <c r="D50" s="56">
        <f>IF(A50&lt;55,0,IF(A50&gt;=65,0.025,0.015+(A50-55)*0.001))</f>
        <v/>
      </c>
      <c r="E50" s="56">
        <f>MIN($B$21,D50*C50)</f>
        <v/>
      </c>
      <c r="F50" s="55">
        <f>IF(AND($B$7="Y",C50&gt;=30,$B$8+(A50-$B$11)&gt;=20),"Y","N")</f>
        <v/>
      </c>
      <c r="G50" s="56">
        <f>MIN($B$21,D50*C50+0.02*MAX(0,C50-24))</f>
        <v/>
      </c>
      <c r="H50" s="67">
        <f>IF(F50="Y",G50,E50)</f>
        <v/>
      </c>
      <c r="I50" s="68">
        <f>H50*($B$13*((1+$B$14)^(A50-$B$11)+(1+$B$14)^(A50-$B$11-1)+(1+$B$14)^(A50-$B$11-2))/3)</f>
        <v/>
      </c>
      <c r="J50" s="55">
        <f>IF(H50&gt;=$B$21,"◄ 80% CAP","")</f>
        <v/>
      </c>
    </row>
    <row r="52">
      <c r="A52" s="63" t="inlineStr">
        <is>
          <t>Earliest age at 80% cap:</t>
        </is>
      </c>
      <c r="C52" s="69">
        <f>IFERROR(INDEX(A38:A50,MATCH(TRUE,INDEX(H38:H50&gt;=$B$21,0),0)),"Not by 67")</f>
        <v/>
      </c>
    </row>
    <row r="53">
      <c r="A53" s="63" t="inlineStr">
        <is>
          <t>…in calendar year:</t>
        </is>
      </c>
      <c r="C53" s="69">
        <f>IFERROR($B$12+(C52-$B$11),"—")</f>
        <v/>
      </c>
    </row>
    <row r="55">
      <c r="A55" s="41" t="inlineStr">
        <is>
          <t>Note: salary average is a simple projection (current salary grown by the raise rate, averaged over the final 3 years). MTRS uses actual highest-3-consecutive-year earnings. R+ enhanced benefit only applies once she reaches 30 creditable years; otherwise the regular formula applies and R+ contributions are refunded.</t>
        </is>
      </c>
    </row>
    <row r="56"/>
    <row r="57"/>
  </sheetData>
  <mergeCells count="2">
    <mergeCell ref="A2:F2"/>
    <mergeCell ref="A55:J57"/>
  </mergeCells>
  <pageMargins left="0.75" right="0.75" top="1" bottom="1" header="0.5" footer="0.5"/>
</worksheet>
</file>

<file path=xl/worksheets/sheet14.xml><?xml version="1.0" encoding="utf-8"?>
<worksheet xmlns="http://schemas.openxmlformats.org/spreadsheetml/2006/main">
  <sheetPr>
    <tabColor rgb="00375623"/>
    <outlinePr summaryBelow="1" summaryRight="1"/>
    <pageSetUpPr/>
  </sheetPr>
  <dimension ref="A1:C70"/>
  <sheetViews>
    <sheetView workbookViewId="0">
      <selection activeCell="A1" sqref="A1"/>
    </sheetView>
  </sheetViews>
  <sheetFormatPr baseColWidth="8" defaultRowHeight="15"/>
  <cols>
    <col width="40" customWidth="1" style="39" min="1" max="1"/>
    <col width="15" customWidth="1" style="39" min="2" max="2"/>
    <col width="54" customWidth="1" style="39" min="3" max="3"/>
  </cols>
  <sheetData>
    <row r="1">
      <c r="A1" s="42" t="inlineStr">
        <is>
          <t>FIRE Dashboard — Naughton Family</t>
        </is>
      </c>
    </row>
    <row r="2" ht="40" customHeight="1" s="39">
      <c r="A2" s="43" t="inlineStr">
        <is>
          <t>Educational planning tool, not investment advice. ORANGE = assumptions you set  •  YELLOW = balances/contributions (snapshot as of now — update over time). FI math uses a REAL (inflation-adjusted) return.</t>
        </is>
      </c>
    </row>
    <row r="4">
      <c r="A4" s="44" t="inlineStr">
        <is>
          <t>① HOUSEHOLD ASSUMPTIONS</t>
        </is>
      </c>
      <c r="B4" s="45" t="n"/>
      <c r="C4" s="45" t="n"/>
    </row>
    <row r="5">
      <c r="A5" t="inlineStr">
        <is>
          <t>Matt's current age</t>
        </is>
      </c>
      <c r="B5" s="49" t="n">
        <v>45</v>
      </c>
    </row>
    <row r="6">
      <c r="A6" t="inlineStr">
        <is>
          <t>Sue's current age</t>
        </is>
      </c>
      <c r="B6" s="49" t="n">
        <v>45</v>
      </c>
    </row>
    <row r="7">
      <c r="A7" t="inlineStr">
        <is>
          <t>Current calendar year</t>
        </is>
      </c>
      <c r="B7" s="49" t="n">
        <v>2026</v>
      </c>
    </row>
    <row r="8">
      <c r="A8" t="inlineStr">
        <is>
          <t>Target annual retirement spend ($)</t>
        </is>
      </c>
      <c r="B8" s="50" t="n">
        <v>90000</v>
      </c>
      <c r="C8" s="47" t="inlineStr">
        <is>
          <t>Use your Income Statement expenses as a guide.</t>
        </is>
      </c>
    </row>
    <row r="9">
      <c r="A9" t="inlineStr">
        <is>
          <t>Safe withdrawal rate (SWR)</t>
        </is>
      </c>
      <c r="B9" s="70" t="n">
        <v>0.04</v>
      </c>
    </row>
    <row r="10">
      <c r="A10" t="inlineStr">
        <is>
          <t>Nominal expected return</t>
        </is>
      </c>
      <c r="B10" s="70" t="n">
        <v>0.07000000000000001</v>
      </c>
      <c r="C10" s="47" t="inlineStr">
        <is>
          <t>Matches the 7% on your Scenarios tab.</t>
        </is>
      </c>
    </row>
    <row r="11">
      <c r="A11" t="inlineStr">
        <is>
          <t>Assumed inflation</t>
        </is>
      </c>
      <c r="B11" s="70" t="n">
        <v>0.03</v>
      </c>
    </row>
    <row r="12">
      <c r="A12" t="inlineStr">
        <is>
          <t>Real return (auto)</t>
        </is>
      </c>
      <c r="B12" s="71">
        <f>(1+B10)/(1+B11)-1</f>
        <v/>
      </c>
    </row>
    <row r="14">
      <c r="A14" s="44" t="inlineStr">
        <is>
          <t>② CURRENT INVESTED ASSETS  (from Balances)</t>
        </is>
      </c>
      <c r="B14" s="45" t="n"/>
      <c r="C14" s="45" t="n"/>
    </row>
    <row r="15">
      <c r="A15" t="inlineStr">
        <is>
          <t>Matt 401k (MathWorks)</t>
        </is>
      </c>
      <c r="B15" s="72" t="n">
        <v>228000</v>
      </c>
    </row>
    <row r="16">
      <c r="A16" t="inlineStr">
        <is>
          <t>Sue 403b (Equitable)</t>
        </is>
      </c>
      <c r="B16" s="72" t="n">
        <v>0</v>
      </c>
    </row>
    <row r="17">
      <c r="A17" t="inlineStr">
        <is>
          <t>IRAs (Matt + Sue)</t>
        </is>
      </c>
      <c r="B17" s="72" t="n">
        <v>0</v>
      </c>
    </row>
    <row r="18">
      <c r="A18" t="inlineStr">
        <is>
          <t>HSA (invested portion)</t>
        </is>
      </c>
      <c r="B18" s="72" t="n">
        <v>0</v>
      </c>
    </row>
    <row r="19">
      <c r="A19" t="inlineStr">
        <is>
          <t>Taxable brokerage (Schwab)</t>
        </is>
      </c>
      <c r="B19" s="72" t="n">
        <v>0</v>
      </c>
    </row>
    <row r="20">
      <c r="A20" t="inlineStr">
        <is>
          <t>Cash earmarked for FI</t>
        </is>
      </c>
      <c r="B20" s="72" t="n">
        <v>0</v>
      </c>
      <c r="C20" s="47" t="inlineStr">
        <is>
          <t>Exclude your emergency fund.</t>
        </is>
      </c>
    </row>
    <row r="21">
      <c r="A21" s="63" t="inlineStr">
        <is>
          <t>TOTAL INVESTED</t>
        </is>
      </c>
      <c r="B21" s="64">
        <f>SUM(B15:B20)</f>
        <v/>
      </c>
    </row>
    <row r="22">
      <c r="A22" t="inlineStr">
        <is>
          <t>(memo) 529 — excluded from FI</t>
        </is>
      </c>
      <c r="B22" s="73" t="n">
        <v>14298</v>
      </c>
      <c r="C22" s="47" t="inlineStr">
        <is>
          <t>Kids' college — not part of your FI number.</t>
        </is>
      </c>
    </row>
    <row r="24">
      <c r="A24" s="44" t="inlineStr">
        <is>
          <t>③ ANNUAL CONTRIBUTIONS</t>
        </is>
      </c>
      <c r="B24" s="45" t="n"/>
      <c r="C24" s="45" t="n"/>
    </row>
    <row r="25">
      <c r="A25" t="inlineStr">
        <is>
          <t>Matt 401k (employee)</t>
        </is>
      </c>
      <c r="B25" s="72" t="n">
        <v>23500</v>
      </c>
    </row>
    <row r="26">
      <c r="A26" t="inlineStr">
        <is>
          <t>Employer 401k match</t>
        </is>
      </c>
      <c r="B26" s="72" t="n">
        <v>4338</v>
      </c>
    </row>
    <row r="27">
      <c r="A27" t="inlineStr">
        <is>
          <t>Sue 403b</t>
        </is>
      </c>
      <c r="B27" s="72" t="n">
        <v>0</v>
      </c>
    </row>
    <row r="28">
      <c r="A28" t="inlineStr">
        <is>
          <t>HSA</t>
        </is>
      </c>
      <c r="B28" s="72" t="n">
        <v>9000</v>
      </c>
      <c r="C28" s="47" t="inlineStr">
        <is>
          <t>2027 family HSA limit.</t>
        </is>
      </c>
    </row>
    <row r="29">
      <c r="A29" t="inlineStr">
        <is>
          <t>IRAs (both)</t>
        </is>
      </c>
      <c r="B29" s="72" t="n">
        <v>15000</v>
      </c>
    </row>
    <row r="30">
      <c r="A30" t="inlineStr">
        <is>
          <t>Taxable brokerage</t>
        </is>
      </c>
      <c r="B30" s="72" t="n">
        <v>0</v>
      </c>
    </row>
    <row r="31">
      <c r="A31" t="inlineStr">
        <is>
          <t>529</t>
        </is>
      </c>
      <c r="B31" s="72" t="n">
        <v>1200</v>
      </c>
    </row>
    <row r="32">
      <c r="A32" s="63" t="inlineStr">
        <is>
          <t>TOTAL ANNUAL INVESTED</t>
        </is>
      </c>
      <c r="B32" s="64">
        <f>SUM(B25:B31)</f>
        <v/>
      </c>
    </row>
    <row r="34">
      <c r="A34" s="44" t="inlineStr">
        <is>
          <t>④ SAVINGS RATE</t>
        </is>
      </c>
      <c r="B34" s="45" t="n"/>
      <c r="C34" s="45" t="n"/>
    </row>
    <row r="35">
      <c r="A35" t="inlineStr">
        <is>
          <t>Gross household income ($)</t>
        </is>
      </c>
      <c r="B35" s="50" t="n">
        <v>229000</v>
      </c>
      <c r="C35" s="47" t="inlineStr">
        <is>
          <t>Matt (~$144k) + Sue's salary.</t>
        </is>
      </c>
    </row>
    <row r="36">
      <c r="A36" t="inlineStr">
        <is>
          <t>Savings rate</t>
        </is>
      </c>
      <c r="B36" s="74">
        <f>B32/B35</f>
        <v/>
      </c>
    </row>
    <row r="38">
      <c r="A38" s="44" t="inlineStr">
        <is>
          <t>⑤ FI NUMBER  (with &amp; without the pension)</t>
        </is>
      </c>
      <c r="B38" s="45" t="n"/>
      <c r="C38" s="45" t="n"/>
    </row>
    <row r="39">
      <c r="A39" t="inlineStr">
        <is>
          <t>Gross FI number (spend ÷ SWR)</t>
        </is>
      </c>
      <c r="B39" s="64">
        <f>B8/B9</f>
        <v/>
      </c>
      <c r="C39" s="47" t="inlineStr">
        <is>
          <t>Portfolio-only target, today's dollars — the conservative number to aim at.</t>
        </is>
      </c>
    </row>
    <row r="40">
      <c r="A40" t="inlineStr">
        <is>
          <t>Sue's annual pension (from Pension tab)</t>
        </is>
      </c>
      <c r="B40" s="73">
        <f>'Pension - Sue'!B33</f>
        <v/>
      </c>
      <c r="C40" s="47" t="inlineStr">
        <is>
          <t>Future nominal $ (grown to her retirement) — treat the offset below as approximate.</t>
        </is>
      </c>
    </row>
    <row r="41">
      <c r="A41" t="inlineStr">
        <is>
          <t>Social Security household (annual, est)</t>
        </is>
      </c>
      <c r="B41" s="50" t="n">
        <v>40000</v>
      </c>
      <c r="C41" s="47" t="inlineStr">
        <is>
          <t>WEP/GPO repealed (2025) — Sue keeps full spousal/survivor SS. Verify her record.</t>
        </is>
      </c>
    </row>
    <row r="42">
      <c r="A42" t="inlineStr">
        <is>
          <t>Income floor (pension + SS)</t>
        </is>
      </c>
      <c r="B42" s="73">
        <f>B40+B41</f>
        <v/>
      </c>
    </row>
    <row r="43">
      <c r="A43" t="inlineStr">
        <is>
          <t>Pension+SS capitalized value</t>
        </is>
      </c>
      <c r="B43" s="73">
        <f>B42/B9</f>
        <v/>
      </c>
      <c r="C43" s="47" t="inlineStr">
        <is>
          <t>Roughly what that income floor is 'worth' vs a portfolio — it reduces the target below.</t>
        </is>
      </c>
    </row>
    <row r="44">
      <c r="A44" s="63" t="inlineStr">
        <is>
          <t>NET FI number (target once floor starts)</t>
        </is>
      </c>
      <c r="B44" s="64">
        <f>MAX(0,(B8-B42)/B9)</f>
        <v/>
      </c>
      <c r="C44" s="47" t="inlineStr">
        <is>
          <t>$0 means pension+SS alone cover target spend in the traditional-retirement phase.</t>
        </is>
      </c>
    </row>
    <row r="48">
      <c r="A48" s="44" t="inlineStr">
        <is>
          <t>⑥ YEARS TO FI  (portfolio-only runway)</t>
        </is>
      </c>
      <c r="B48" s="45" t="n"/>
      <c r="C48" s="45" t="n"/>
    </row>
    <row r="49">
      <c r="A49" t="inlineStr">
        <is>
          <t>Years to reach GROSS FI number</t>
        </is>
      </c>
      <c r="B49" s="75">
        <f>IFERROR(NPER(B12,-B32,-B21,B39),"check inputs")</f>
        <v/>
      </c>
      <c r="C49" s="41" t="inlineStr">
        <is>
          <t>Current invested + annual contributions growing at the real return. Pension+SS shorten this once they begin (see ⑤).</t>
        </is>
      </c>
    </row>
    <row r="50">
      <c r="A50" t="inlineStr">
        <is>
          <t>Matt's age at FI</t>
        </is>
      </c>
      <c r="B50" s="76">
        <f>IF(ISNUMBER(B49),B5+B49,"—")</f>
        <v/>
      </c>
    </row>
    <row r="51">
      <c r="A51" t="inlineStr">
        <is>
          <t>FI calendar year</t>
        </is>
      </c>
      <c r="B51" s="77">
        <f>IF(ISNUMBER(B49),B7+B49,"—")</f>
        <v/>
      </c>
    </row>
    <row r="53">
      <c r="A53" s="44" t="inlineStr">
        <is>
          <t>⑦ PRE-59½ BRIDGE  (early-access runway)</t>
        </is>
      </c>
      <c r="B53" s="45" t="n"/>
      <c r="C53" s="45" t="n"/>
    </row>
    <row r="54">
      <c r="A54" t="inlineStr">
        <is>
          <t>Planned early-retire age (Matt)</t>
        </is>
      </c>
      <c r="B54" s="49" t="n">
        <v>55</v>
      </c>
    </row>
    <row r="55">
      <c r="A55" t="inlineStr">
        <is>
          <t>Roth IRA contributions (accessible)</t>
        </is>
      </c>
      <c r="B55" s="72" t="n">
        <v>0</v>
      </c>
    </row>
    <row r="56">
      <c r="A56" t="inlineStr">
        <is>
          <t>HSA receipt shoebox (accessible)</t>
        </is>
      </c>
      <c r="B56" s="72" t="n">
        <v>0</v>
      </c>
    </row>
    <row r="57">
      <c r="A57" t="inlineStr">
        <is>
          <t>Taxable brokerage</t>
        </is>
      </c>
      <c r="B57" s="72" t="n">
        <v>0</v>
      </c>
    </row>
    <row r="58">
      <c r="A58" s="63" t="inlineStr">
        <is>
          <t>Total accessible before 59½</t>
        </is>
      </c>
      <c r="B58" s="64">
        <f>SUM(B55:B57)</f>
        <v/>
      </c>
    </row>
    <row r="59">
      <c r="A59" t="inlineStr">
        <is>
          <t>Years until 59½</t>
        </is>
      </c>
      <c r="B59" s="76">
        <f>59.5-B54</f>
        <v/>
      </c>
    </row>
    <row r="60">
      <c r="A60" t="inlineStr">
        <is>
          <t>Annual spend uncovered in bridge ($)</t>
        </is>
      </c>
      <c r="B60" s="50" t="n">
        <v>90000</v>
      </c>
      <c r="C60" s="47" t="inlineStr">
        <is>
          <t>If Sue is still teaching, subtract her take-home — the gap may be small or zero.</t>
        </is>
      </c>
    </row>
    <row r="61">
      <c r="A61" t="inlineStr">
        <is>
          <t>Bridge need</t>
        </is>
      </c>
      <c r="B61" s="73">
        <f>B59*B60</f>
        <v/>
      </c>
    </row>
    <row r="62">
      <c r="A62" s="63" t="inlineStr">
        <is>
          <t>Bridge surplus / (gap)</t>
        </is>
      </c>
      <c r="B62" s="64">
        <f>B58-B61</f>
        <v/>
      </c>
    </row>
    <row r="64">
      <c r="A64" s="44" t="inlineStr">
        <is>
          <t>⑧ TWO-PHASE PLAN</t>
        </is>
      </c>
      <c r="B64" s="45" t="n"/>
      <c r="C64" s="45" t="n"/>
    </row>
    <row r="65">
      <c r="A65" s="63" t="inlineStr">
        <is>
          <t>Phase 1 — Matt steps back first</t>
        </is>
      </c>
    </row>
    <row r="66">
      <c r="A66" s="41" t="inlineStr">
        <is>
          <t>Sue keeps teaching: her salary + retiree-eligible health coverage bridge the household, so the portfolio keeps compounding and the pre-59½ gap above stays small.</t>
        </is>
      </c>
    </row>
    <row r="67"/>
    <row r="68">
      <c r="A68" s="63" t="inlineStr">
        <is>
          <t>Phase 2 — Sue reaches her 80% pension cap</t>
        </is>
      </c>
    </row>
    <row r="69">
      <c r="A69" s="78">
        <f>CONCATENATE("Sue hits the 80% cap at age ",'Pension - Sue'!C52," (year ",'Pension - Sue'!C53,"); ","both fully retired — the pension+SS floor then covers about ",TEXT(B42/B8,"0%")," of target spend.")</f>
        <v/>
      </c>
    </row>
    <row r="70"/>
  </sheetData>
  <mergeCells count="3">
    <mergeCell ref="A66:C67"/>
    <mergeCell ref="A69:C70"/>
    <mergeCell ref="A2:C2"/>
  </mergeCells>
  <pageMargins left="0.75" right="0.75" top="1" bottom="1" header="0.5" footer="0.5"/>
</worksheet>
</file>

<file path=xl/worksheets/sheet15.xml><?xml version="1.0" encoding="utf-8"?>
<worksheet xmlns="http://schemas.openxmlformats.org/spreadsheetml/2006/main">
  <sheetPr>
    <tabColor rgb="00BF8F00"/>
    <outlinePr summaryBelow="1" summaryRight="1"/>
    <pageSetUpPr/>
  </sheetPr>
  <dimension ref="A1:N35"/>
  <sheetViews>
    <sheetView workbookViewId="0">
      <selection activeCell="A1" sqref="A1"/>
    </sheetView>
  </sheetViews>
  <sheetFormatPr baseColWidth="8" defaultRowHeight="15"/>
  <cols>
    <col width="32" customWidth="1" style="39" min="1" max="1"/>
    <col width="34" customWidth="1" style="39" min="2" max="2"/>
    <col width="9" customWidth="1" style="39" min="3" max="3"/>
    <col width="9" customWidth="1" style="39" min="4" max="4"/>
    <col width="9" customWidth="1" style="39" min="5" max="5"/>
    <col width="9" customWidth="1" style="39" min="6" max="6"/>
    <col width="9" customWidth="1" style="39" min="7" max="7"/>
    <col width="9" customWidth="1" style="39" min="8" max="8"/>
    <col width="9" customWidth="1" style="39" min="9" max="9"/>
    <col width="9" customWidth="1" style="39" min="10" max="10"/>
    <col width="9" customWidth="1" style="39" min="11" max="11"/>
    <col width="9" customWidth="1" style="39" min="12" max="12"/>
    <col width="9" customWidth="1" style="39" min="13" max="13"/>
    <col width="11" customWidth="1" style="39" min="14" max="14"/>
  </cols>
  <sheetData>
    <row r="1">
      <c r="A1" s="42" t="inlineStr">
        <is>
          <t>Amazon — Monthly Reconciliation</t>
        </is>
      </c>
    </row>
    <row r="2" ht="42" customHeight="1" s="39">
      <c r="A2" s="43" t="inlineStr">
        <is>
          <t>All Amazon spend now lands in ONE bucket — 'Amazon (misc)', CC Detail row 14 — via a single regex rule (AMZN|AMAZON). Each month, split that total into real categories below. ORANGE = you enter $. The reference list at the bottom shows the actual Amazon transactions to guide the split.</t>
        </is>
      </c>
    </row>
    <row r="4">
      <c r="A4" s="44" t="inlineStr">
        <is>
          <t>① AMAZON TOTAL TO RECONCILE  (auto — from CC Detail)</t>
        </is>
      </c>
      <c r="B4" s="45" t="n"/>
      <c r="C4" s="45" t="n"/>
      <c r="D4" s="45" t="n"/>
      <c r="E4" s="45" t="n"/>
      <c r="F4" s="45" t="n"/>
      <c r="G4" s="45" t="n"/>
      <c r="H4" s="45" t="n"/>
      <c r="I4" s="45" t="n"/>
      <c r="J4" s="45" t="n"/>
      <c r="K4" s="45" t="n"/>
      <c r="L4" s="45" t="n"/>
      <c r="M4" s="45" t="n"/>
      <c r="N4" s="45" t="n"/>
    </row>
    <row r="5">
      <c r="A5" s="79" t="inlineStr">
        <is>
          <t>Month</t>
        </is>
      </c>
      <c r="B5" s="53" t="inlineStr">
        <is>
          <t>Jan</t>
        </is>
      </c>
      <c r="C5" s="53" t="inlineStr">
        <is>
          <t>Feb</t>
        </is>
      </c>
      <c r="D5" s="53" t="inlineStr">
        <is>
          <t>Mar</t>
        </is>
      </c>
      <c r="E5" s="53" t="inlineStr">
        <is>
          <t>Apr</t>
        </is>
      </c>
      <c r="F5" s="53" t="inlineStr">
        <is>
          <t>May</t>
        </is>
      </c>
      <c r="G5" s="53" t="inlineStr">
        <is>
          <t>Jun</t>
        </is>
      </c>
      <c r="H5" s="53" t="inlineStr">
        <is>
          <t>Jul</t>
        </is>
      </c>
      <c r="I5" s="53" t="inlineStr">
        <is>
          <t>Aug</t>
        </is>
      </c>
      <c r="J5" s="53" t="inlineStr">
        <is>
          <t>Sep</t>
        </is>
      </c>
      <c r="K5" s="53" t="inlineStr">
        <is>
          <t>Oct</t>
        </is>
      </c>
      <c r="L5" s="53" t="inlineStr">
        <is>
          <t>Nov</t>
        </is>
      </c>
      <c r="M5" s="53" t="inlineStr">
        <is>
          <t>Dec</t>
        </is>
      </c>
      <c r="N5" s="53" t="inlineStr">
        <is>
          <t>YTD</t>
        </is>
      </c>
    </row>
    <row r="6">
      <c r="A6" s="80" t="inlineStr">
        <is>
          <t>Amazon (misc) — to reconcile</t>
        </is>
      </c>
      <c r="B6" s="81">
        <f>'CC Detail'!B14</f>
        <v/>
      </c>
      <c r="C6" s="81">
        <f>'CC Detail'!C14</f>
        <v/>
      </c>
      <c r="D6" s="81">
        <f>'CC Detail'!D14</f>
        <v/>
      </c>
      <c r="E6" s="81">
        <f>'CC Detail'!E14</f>
        <v/>
      </c>
      <c r="F6" s="81">
        <f>'CC Detail'!F14</f>
        <v/>
      </c>
      <c r="G6" s="81">
        <f>'CC Detail'!G14</f>
        <v/>
      </c>
      <c r="H6" s="81">
        <f>'CC Detail'!H14</f>
        <v/>
      </c>
      <c r="I6" s="81">
        <f>'CC Detail'!I14</f>
        <v/>
      </c>
      <c r="J6" s="81">
        <f>'CC Detail'!J14</f>
        <v/>
      </c>
      <c r="K6" s="81">
        <f>'CC Detail'!K14</f>
        <v/>
      </c>
      <c r="L6" s="81">
        <f>'CC Detail'!L14</f>
        <v/>
      </c>
      <c r="M6" s="81">
        <f>'CC Detail'!M14</f>
        <v/>
      </c>
      <c r="N6" s="82">
        <f>SUM(B6:M6)</f>
        <v/>
      </c>
    </row>
    <row r="8">
      <c r="A8" s="44" t="inlineStr">
        <is>
          <t>② ALLOCATE INTO CATEGORIES  (enter $ per month)</t>
        </is>
      </c>
      <c r="B8" s="45" t="n"/>
      <c r="C8" s="45" t="n"/>
      <c r="D8" s="45" t="n"/>
      <c r="E8" s="45" t="n"/>
      <c r="F8" s="45" t="n"/>
      <c r="G8" s="45" t="n"/>
      <c r="H8" s="45" t="n"/>
      <c r="I8" s="45" t="n"/>
      <c r="J8" s="45" t="n"/>
      <c r="K8" s="45" t="n"/>
      <c r="L8" s="45" t="n"/>
      <c r="M8" s="45" t="n"/>
      <c r="N8" s="45" t="n"/>
    </row>
    <row r="9">
      <c r="A9" s="79" t="inlineStr">
        <is>
          <t>Category</t>
        </is>
      </c>
      <c r="B9" s="53" t="inlineStr">
        <is>
          <t>Jan</t>
        </is>
      </c>
      <c r="C9" s="53" t="inlineStr">
        <is>
          <t>Feb</t>
        </is>
      </c>
      <c r="D9" s="53" t="inlineStr">
        <is>
          <t>Mar</t>
        </is>
      </c>
      <c r="E9" s="53" t="inlineStr">
        <is>
          <t>Apr</t>
        </is>
      </c>
      <c r="F9" s="53" t="inlineStr">
        <is>
          <t>May</t>
        </is>
      </c>
      <c r="G9" s="53" t="inlineStr">
        <is>
          <t>Jun</t>
        </is>
      </c>
      <c r="H9" s="53" t="inlineStr">
        <is>
          <t>Jul</t>
        </is>
      </c>
      <c r="I9" s="53" t="inlineStr">
        <is>
          <t>Aug</t>
        </is>
      </c>
      <c r="J9" s="53" t="inlineStr">
        <is>
          <t>Sep</t>
        </is>
      </c>
      <c r="K9" s="53" t="inlineStr">
        <is>
          <t>Oct</t>
        </is>
      </c>
      <c r="L9" s="53" t="inlineStr">
        <is>
          <t>Nov</t>
        </is>
      </c>
      <c r="M9" s="53" t="inlineStr">
        <is>
          <t>Dec</t>
        </is>
      </c>
      <c r="N9" s="53" t="inlineStr">
        <is>
          <t>YTD</t>
        </is>
      </c>
    </row>
    <row r="10">
      <c r="A10" s="83" t="inlineStr">
        <is>
          <t>Groceries</t>
        </is>
      </c>
      <c r="B10" s="84" t="n">
        <v>0</v>
      </c>
      <c r="C10" s="84" t="n">
        <v>0</v>
      </c>
      <c r="D10" s="84" t="n">
        <v>0</v>
      </c>
      <c r="E10" s="84" t="n">
        <v>0</v>
      </c>
      <c r="F10" s="84" t="n">
        <v>0</v>
      </c>
      <c r="G10" s="84" t="n">
        <v>0</v>
      </c>
      <c r="H10" s="84" t="n">
        <v>0</v>
      </c>
      <c r="I10" s="84" t="n">
        <v>0</v>
      </c>
      <c r="J10" s="84" t="n">
        <v>0</v>
      </c>
      <c r="K10" s="84" t="n">
        <v>0</v>
      </c>
      <c r="L10" s="84" t="n">
        <v>0</v>
      </c>
      <c r="M10" s="84" t="n">
        <v>0</v>
      </c>
      <c r="N10" s="81">
        <f>SUM(B10:M10)</f>
        <v/>
      </c>
    </row>
    <row r="11">
      <c r="A11" s="83" t="inlineStr">
        <is>
          <t>Kids / Activities</t>
        </is>
      </c>
      <c r="B11" s="84" t="n">
        <v>0</v>
      </c>
      <c r="C11" s="84" t="n">
        <v>0</v>
      </c>
      <c r="D11" s="84" t="n">
        <v>0</v>
      </c>
      <c r="E11" s="84" t="n">
        <v>0</v>
      </c>
      <c r="F11" s="84" t="n">
        <v>0</v>
      </c>
      <c r="G11" s="84" t="n">
        <v>0</v>
      </c>
      <c r="H11" s="84" t="n">
        <v>0</v>
      </c>
      <c r="I11" s="84" t="n">
        <v>0</v>
      </c>
      <c r="J11" s="84" t="n">
        <v>0</v>
      </c>
      <c r="K11" s="84" t="n">
        <v>0</v>
      </c>
      <c r="L11" s="84" t="n">
        <v>0</v>
      </c>
      <c r="M11" s="84" t="n">
        <v>0</v>
      </c>
      <c r="N11" s="81">
        <f>SUM(B11:M11)</f>
        <v/>
      </c>
    </row>
    <row r="12">
      <c r="A12" s="83" t="inlineStr">
        <is>
          <t>Personal Care</t>
        </is>
      </c>
      <c r="B12" s="84" t="n">
        <v>0</v>
      </c>
      <c r="C12" s="84" t="n">
        <v>0</v>
      </c>
      <c r="D12" s="84" t="n">
        <v>0</v>
      </c>
      <c r="E12" s="84" t="n">
        <v>0</v>
      </c>
      <c r="F12" s="84" t="n">
        <v>0</v>
      </c>
      <c r="G12" s="84" t="n">
        <v>0</v>
      </c>
      <c r="H12" s="84" t="n">
        <v>0</v>
      </c>
      <c r="I12" s="84" t="n">
        <v>0</v>
      </c>
      <c r="J12" s="84" t="n">
        <v>0</v>
      </c>
      <c r="K12" s="84" t="n">
        <v>0</v>
      </c>
      <c r="L12" s="84" t="n">
        <v>0</v>
      </c>
      <c r="M12" s="84" t="n">
        <v>0</v>
      </c>
      <c r="N12" s="81">
        <f>SUM(B12:M12)</f>
        <v/>
      </c>
    </row>
    <row r="13">
      <c r="A13" s="83" t="inlineStr">
        <is>
          <t>Pharmacy / Health</t>
        </is>
      </c>
      <c r="B13" s="84" t="n">
        <v>0</v>
      </c>
      <c r="C13" s="84" t="n">
        <v>0</v>
      </c>
      <c r="D13" s="84" t="n">
        <v>0</v>
      </c>
      <c r="E13" s="84" t="n">
        <v>0</v>
      </c>
      <c r="F13" s="84" t="n">
        <v>0</v>
      </c>
      <c r="G13" s="84" t="n">
        <v>0</v>
      </c>
      <c r="H13" s="84" t="n">
        <v>0</v>
      </c>
      <c r="I13" s="84" t="n">
        <v>0</v>
      </c>
      <c r="J13" s="84" t="n">
        <v>0</v>
      </c>
      <c r="K13" s="84" t="n">
        <v>0</v>
      </c>
      <c r="L13" s="84" t="n">
        <v>0</v>
      </c>
      <c r="M13" s="84" t="n">
        <v>0</v>
      </c>
      <c r="N13" s="81">
        <f>SUM(B13:M13)</f>
        <v/>
      </c>
    </row>
    <row r="14">
      <c r="A14" s="83" t="inlineStr">
        <is>
          <t>Home / Hardware</t>
        </is>
      </c>
      <c r="B14" s="84" t="n">
        <v>0</v>
      </c>
      <c r="C14" s="84" t="n">
        <v>0</v>
      </c>
      <c r="D14" s="84" t="n">
        <v>0</v>
      </c>
      <c r="E14" s="84" t="n">
        <v>0</v>
      </c>
      <c r="F14" s="84" t="n">
        <v>0</v>
      </c>
      <c r="G14" s="84" t="n">
        <v>0</v>
      </c>
      <c r="H14" s="84" t="n">
        <v>0</v>
      </c>
      <c r="I14" s="84" t="n">
        <v>0</v>
      </c>
      <c r="J14" s="84" t="n">
        <v>0</v>
      </c>
      <c r="K14" s="84" t="n">
        <v>0</v>
      </c>
      <c r="L14" s="84" t="n">
        <v>0</v>
      </c>
      <c r="M14" s="84" t="n">
        <v>0</v>
      </c>
      <c r="N14" s="81">
        <f>SUM(B14:M14)</f>
        <v/>
      </c>
    </row>
    <row r="15">
      <c r="A15" s="83" t="inlineStr">
        <is>
          <t>Subscriptions (Prime/Kindle/Audible)</t>
        </is>
      </c>
      <c r="B15" s="84" t="n">
        <v>0</v>
      </c>
      <c r="C15" s="84" t="n">
        <v>0</v>
      </c>
      <c r="D15" s="84" t="n">
        <v>0</v>
      </c>
      <c r="E15" s="84" t="n">
        <v>0</v>
      </c>
      <c r="F15" s="84" t="n">
        <v>0</v>
      </c>
      <c r="G15" s="84" t="n">
        <v>0</v>
      </c>
      <c r="H15" s="84" t="n">
        <v>0</v>
      </c>
      <c r="I15" s="84" t="n">
        <v>0</v>
      </c>
      <c r="J15" s="84" t="n">
        <v>0</v>
      </c>
      <c r="K15" s="84" t="n">
        <v>0</v>
      </c>
      <c r="L15" s="84" t="n">
        <v>0</v>
      </c>
      <c r="M15" s="84" t="n">
        <v>0</v>
      </c>
      <c r="N15" s="81">
        <f>SUM(B15:M15)</f>
        <v/>
      </c>
    </row>
    <row r="16">
      <c r="A16" s="83" t="inlineStr">
        <is>
          <t>Other / gifts</t>
        </is>
      </c>
      <c r="B16" s="84" t="n">
        <v>0</v>
      </c>
      <c r="C16" s="84" t="n">
        <v>0</v>
      </c>
      <c r="D16" s="84" t="n">
        <v>0</v>
      </c>
      <c r="E16" s="84" t="n">
        <v>0</v>
      </c>
      <c r="F16" s="84" t="n">
        <v>0</v>
      </c>
      <c r="G16" s="84" t="n">
        <v>0</v>
      </c>
      <c r="H16" s="84" t="n">
        <v>0</v>
      </c>
      <c r="I16" s="84" t="n">
        <v>0</v>
      </c>
      <c r="J16" s="84" t="n">
        <v>0</v>
      </c>
      <c r="K16" s="84" t="n">
        <v>0</v>
      </c>
      <c r="L16" s="84" t="n">
        <v>0</v>
      </c>
      <c r="M16" s="84" t="n">
        <v>0</v>
      </c>
      <c r="N16" s="81">
        <f>SUM(B16:M16)</f>
        <v/>
      </c>
    </row>
    <row r="17">
      <c r="A17" s="80" t="inlineStr">
        <is>
          <t>Allocated total</t>
        </is>
      </c>
      <c r="B17" s="85">
        <f>SUM(B10:B16)</f>
        <v/>
      </c>
      <c r="C17" s="85">
        <f>SUM(C10:C16)</f>
        <v/>
      </c>
      <c r="D17" s="85">
        <f>SUM(D10:D16)</f>
        <v/>
      </c>
      <c r="E17" s="85">
        <f>SUM(E10:E16)</f>
        <v/>
      </c>
      <c r="F17" s="85">
        <f>SUM(F10:F16)</f>
        <v/>
      </c>
      <c r="G17" s="85">
        <f>SUM(G10:G16)</f>
        <v/>
      </c>
      <c r="H17" s="85">
        <f>SUM(H10:H16)</f>
        <v/>
      </c>
      <c r="I17" s="85">
        <f>SUM(I10:I16)</f>
        <v/>
      </c>
      <c r="J17" s="85">
        <f>SUM(J10:J16)</f>
        <v/>
      </c>
      <c r="K17" s="85">
        <f>SUM(K10:K16)</f>
        <v/>
      </c>
      <c r="L17" s="85">
        <f>SUM(L10:L16)</f>
        <v/>
      </c>
      <c r="M17" s="85">
        <f>SUM(M10:M16)</f>
        <v/>
      </c>
      <c r="N17" s="85">
        <f>SUM(N10:N16)</f>
        <v/>
      </c>
    </row>
    <row r="18">
      <c r="A18" s="80" t="inlineStr">
        <is>
          <t>Unallocated remaining</t>
        </is>
      </c>
      <c r="B18" s="82">
        <f>B6-B17</f>
        <v/>
      </c>
      <c r="C18" s="82">
        <f>C6-C17</f>
        <v/>
      </c>
      <c r="D18" s="82">
        <f>D6-D17</f>
        <v/>
      </c>
      <c r="E18" s="82">
        <f>E6-E17</f>
        <v/>
      </c>
      <c r="F18" s="82">
        <f>F6-F17</f>
        <v/>
      </c>
      <c r="G18" s="82">
        <f>G6-G17</f>
        <v/>
      </c>
      <c r="H18" s="82">
        <f>H6-H17</f>
        <v/>
      </c>
      <c r="I18" s="82">
        <f>I6-I17</f>
        <v/>
      </c>
      <c r="J18" s="82">
        <f>J6-J17</f>
        <v/>
      </c>
      <c r="K18" s="82">
        <f>K6-K17</f>
        <v/>
      </c>
      <c r="L18" s="82">
        <f>L6-L17</f>
        <v/>
      </c>
      <c r="M18" s="82">
        <f>M6-M17</f>
        <v/>
      </c>
      <c r="N18" s="82">
        <f>N6-N17</f>
        <v/>
      </c>
    </row>
    <row r="20">
      <c r="A20" s="44" t="inlineStr">
        <is>
          <t>③ RECONCILED CATEGORY TOTALS (YTD) — the un-muddied picture</t>
        </is>
      </c>
      <c r="B20" s="45" t="n"/>
      <c r="C20" s="45" t="n"/>
      <c r="D20" s="45" t="n"/>
    </row>
    <row r="21">
      <c r="A21" s="79" t="inlineStr">
        <is>
          <t>Category</t>
        </is>
      </c>
      <c r="B21" s="53" t="inlineStr">
        <is>
          <t>Native (CC Detail)</t>
        </is>
      </c>
      <c r="C21" s="53" t="inlineStr">
        <is>
          <t>+ Amazon</t>
        </is>
      </c>
      <c r="D21" s="53">
        <f> True total (YTD)</f>
        <v/>
      </c>
    </row>
    <row r="22">
      <c r="A22" s="83" t="inlineStr">
        <is>
          <t>Groceries</t>
        </is>
      </c>
      <c r="B22" s="81">
        <f>'CC Detail'!N5</f>
        <v/>
      </c>
      <c r="C22" s="81">
        <f>N10</f>
        <v/>
      </c>
      <c r="D22" s="82">
        <f>B22+C22</f>
        <v/>
      </c>
    </row>
    <row r="23">
      <c r="A23" s="83" t="inlineStr">
        <is>
          <t>Kids / Activities</t>
        </is>
      </c>
      <c r="B23" s="81">
        <f>'CC Detail'!N9</f>
        <v/>
      </c>
      <c r="C23" s="81">
        <f>N11</f>
        <v/>
      </c>
      <c r="D23" s="82">
        <f>B23+C23</f>
        <v/>
      </c>
    </row>
    <row r="24">
      <c r="A24" s="83" t="inlineStr">
        <is>
          <t>Personal Care</t>
        </is>
      </c>
      <c r="B24" s="81">
        <f>'CC Detail'!N11</f>
        <v/>
      </c>
      <c r="C24" s="81">
        <f>N12</f>
        <v/>
      </c>
      <c r="D24" s="82">
        <f>B24+C24</f>
        <v/>
      </c>
    </row>
    <row r="25">
      <c r="A25" s="83" t="inlineStr">
        <is>
          <t>Pharmacy / Health</t>
        </is>
      </c>
      <c r="B25" s="81">
        <f>'CC Detail'!N12</f>
        <v/>
      </c>
      <c r="C25" s="81">
        <f>N13</f>
        <v/>
      </c>
      <c r="D25" s="82">
        <f>B25+C25</f>
        <v/>
      </c>
    </row>
    <row r="26">
      <c r="A26" s="83" t="inlineStr">
        <is>
          <t>Home / Hardware</t>
        </is>
      </c>
      <c r="B26" s="81">
        <f>'CC Detail'!N13</f>
        <v/>
      </c>
      <c r="C26" s="81">
        <f>N14</f>
        <v/>
      </c>
      <c r="D26" s="82">
        <f>B26+C26</f>
        <v/>
      </c>
    </row>
    <row r="27">
      <c r="A27" s="83" t="inlineStr">
        <is>
          <t>Subscriptions</t>
        </is>
      </c>
      <c r="B27" s="81">
        <f>'CC Detail'!N8</f>
        <v/>
      </c>
      <c r="C27" s="81">
        <f>N15</f>
        <v/>
      </c>
      <c r="D27" s="82">
        <f>B27+C27</f>
        <v/>
      </c>
    </row>
    <row r="28">
      <c r="A28" s="83" t="inlineStr">
        <is>
          <t>Other / gifts</t>
        </is>
      </c>
      <c r="B28" s="81">
        <f>'CC Detail'!N17</f>
        <v/>
      </c>
      <c r="C28" s="81">
        <f>N16</f>
        <v/>
      </c>
      <c r="D28" s="82">
        <f>B28+C28</f>
        <v/>
      </c>
    </row>
    <row r="29">
      <c r="A29" s="41" t="inlineStr">
        <is>
          <t>Note: once split, these 'true totals' show real spend per category — Amazon no longer hides hardware, hygiene, and kids' purchases in one lump. Feed these into the guardrail when it's built.</t>
        </is>
      </c>
    </row>
    <row r="30"/>
    <row r="32">
      <c r="A32" s="44" t="inlineStr">
        <is>
          <t>④ REFERENCE — current Amazon transactions  (auto, read-only)</t>
        </is>
      </c>
      <c r="B32" s="45" t="n"/>
      <c r="C32" s="45" t="n"/>
      <c r="D32" s="45" t="n"/>
    </row>
    <row r="33">
      <c r="A33" s="41" t="inlineStr">
        <is>
          <t>Pulls Amazon rows from your Barclay import so you can see what to split. Refreshes when you paste new data.</t>
        </is>
      </c>
    </row>
    <row r="34">
      <c r="A34" s="79" t="inlineStr">
        <is>
          <t>Date</t>
        </is>
      </c>
      <c r="B34" s="79" t="inlineStr">
        <is>
          <t>Description</t>
        </is>
      </c>
      <c r="C34" s="53" t="inlineStr">
        <is>
          <t>Amount</t>
        </is>
      </c>
      <c r="D34" s="53" t="inlineStr">
        <is>
          <t>Purchased by</t>
        </is>
      </c>
    </row>
    <row r="35">
      <c r="A35">
        <f>IFERROR(FILTER({'Imports - Barclay'!A5:A,'Imports - Barclay'!B5:B,'Imports - Barclay'!D5:D,'Imports - Barclay'!F5:F},REGEXMATCH(UPPER('Imports - Barclay'!B5:B),"AMZN|AMAZON")),"No Amazon rows in current Barclay import")</f>
        <v/>
      </c>
    </row>
  </sheetData>
  <mergeCells count="3">
    <mergeCell ref="A29:D30"/>
    <mergeCell ref="A2:N2"/>
    <mergeCell ref="A33:D33"/>
  </mergeCells>
  <conditionalFormatting sqref="B18:N18">
    <cfRule type="cellIs" priority="1" operator="notBetween" dxfId="2">
      <formula>-1</formula>
      <formula>1</formula>
    </cfRule>
  </conditionalFormatting>
  <pageMargins left="0.75" right="0.75" top="1" bottom="1" header="0.5" footer="0.5"/>
</worksheet>
</file>

<file path=xl/worksheets/sheet16.xml><?xml version="1.0" encoding="utf-8"?>
<worksheet xmlns="http://schemas.openxmlformats.org/spreadsheetml/2006/main">
  <sheetPr>
    <tabColor rgb="00C55A11"/>
    <outlinePr summaryBelow="1" summaryRight="1"/>
    <pageSetUpPr/>
  </sheetPr>
  <dimension ref="A1:H80"/>
  <sheetViews>
    <sheetView workbookViewId="0">
      <selection activeCell="A1" sqref="A1"/>
    </sheetView>
  </sheetViews>
  <sheetFormatPr baseColWidth="8" defaultRowHeight="15"/>
  <cols>
    <col width="34" customWidth="1" style="39" min="1" max="1"/>
    <col width="13" customWidth="1" style="39" min="2" max="2"/>
    <col width="13" customWidth="1" style="39" min="3" max="3"/>
    <col width="13" customWidth="1" style="39" min="4" max="4"/>
    <col width="13" customWidth="1" style="39" min="5" max="5"/>
    <col width="13" customWidth="1" style="39" min="6" max="6"/>
    <col width="13" customWidth="1" style="39" min="7" max="7"/>
    <col width="13" customWidth="1" style="39" min="8" max="8"/>
  </cols>
  <sheetData>
    <row r="1">
      <c r="A1" s="42" t="inlineStr">
        <is>
          <t>Solar — Reinvestment &amp; Effective ROI</t>
        </is>
      </c>
    </row>
    <row r="2" ht="44" customHeight="1" s="39">
      <c r="A2" s="43" t="inlineStr">
        <is>
          <t>Goal: redirect your former electric-bill spend into a growth vehicle so the solar's ROI compounds. ORANGE = inputs. Enphase has no CSV export, so enter the monthly energy log by hand (you can backfill Mar–Sep now, then add one row per month). Educational planning, not investment/tax advice.</t>
        </is>
      </c>
    </row>
    <row r="4">
      <c r="A4" s="44" t="inlineStr">
        <is>
          <t>① INCENTIVES &amp; NET CAPITAL COST</t>
        </is>
      </c>
      <c r="B4" s="45" t="n"/>
      <c r="C4" s="45" t="n"/>
      <c r="D4" s="45" t="n"/>
      <c r="E4" s="45" t="n"/>
      <c r="F4" s="45" t="n"/>
      <c r="G4" s="45" t="n"/>
      <c r="H4" s="45" t="n"/>
    </row>
    <row r="5">
      <c r="A5" t="inlineStr">
        <is>
          <t>Gross capital outlay</t>
        </is>
      </c>
      <c r="B5" s="73">
        <f>'Solar ROI'!N5</f>
        <v/>
      </c>
    </row>
    <row r="6">
      <c r="A6" t="inlineStr">
        <is>
          <t>Federal ITC (25D)</t>
        </is>
      </c>
      <c r="B6" s="50" t="n">
        <v>0</v>
      </c>
      <c r="C6" s="41" t="inlineStr">
        <is>
          <t>$0 if placed in service in 2026 (OBBB ended 25D after 12/31/2025). If PTO by 12/31/2025, use ~0.30×gross.</t>
        </is>
      </c>
    </row>
    <row r="7">
      <c r="A7" t="inlineStr">
        <is>
          <t>MA state credit (15%, max $1,000)</t>
        </is>
      </c>
      <c r="B7" s="73">
        <f>MIN(1000,0.15*B5)</f>
        <v/>
      </c>
    </row>
    <row r="8">
      <c r="A8" t="inlineStr">
        <is>
          <t>Other rebates / utility</t>
        </is>
      </c>
      <c r="B8" s="50" t="n">
        <v>0</v>
      </c>
    </row>
    <row r="9">
      <c r="A9" s="63" t="inlineStr">
        <is>
          <t>NET CAPITAL COST</t>
        </is>
      </c>
      <c r="B9" s="64">
        <f>B5-B6-B7-B8</f>
        <v/>
      </c>
    </row>
    <row r="11">
      <c r="A11" s="44" t="inlineStr">
        <is>
          <t>② MONTHLY ENERGY LOG  (Enphase — manual entry, kWh)</t>
        </is>
      </c>
      <c r="B11" s="45" t="n"/>
      <c r="C11" s="45" t="n"/>
      <c r="D11" s="45" t="n"/>
      <c r="E11" s="45" t="n"/>
      <c r="F11" s="45" t="n"/>
      <c r="G11" s="45" t="n"/>
      <c r="H11" s="45" t="n"/>
    </row>
    <row r="12">
      <c r="A12" s="47" t="inlineStr">
        <is>
          <t>Enter each month from your Enphase report. Net export = Exported − Imported (auto).</t>
        </is>
      </c>
    </row>
    <row r="13">
      <c r="A13" s="79" t="inlineStr">
        <is>
          <t>Month</t>
        </is>
      </c>
      <c r="B13" s="53" t="inlineStr">
        <is>
          <t>Produced</t>
        </is>
      </c>
      <c r="C13" s="53" t="inlineStr">
        <is>
          <t>Consumed</t>
        </is>
      </c>
      <c r="D13" s="53" t="inlineStr">
        <is>
          <t>Imported</t>
        </is>
      </c>
      <c r="E13" s="53" t="inlineStr">
        <is>
          <t>Exported</t>
        </is>
      </c>
      <c r="F13" s="53" t="inlineStr">
        <is>
          <t>Net export</t>
        </is>
      </c>
    </row>
    <row r="14">
      <c r="A14" s="83" t="inlineStr">
        <is>
          <t>Jan</t>
        </is>
      </c>
      <c r="B14" s="86" t="n"/>
      <c r="C14" s="86" t="n"/>
      <c r="D14" s="86" t="n"/>
      <c r="E14" s="86" t="n"/>
      <c r="F14" s="87">
        <f>E14-D14</f>
        <v/>
      </c>
    </row>
    <row r="15">
      <c r="A15" s="83" t="inlineStr">
        <is>
          <t>Feb</t>
        </is>
      </c>
      <c r="B15" s="86" t="n"/>
      <c r="C15" s="86" t="n"/>
      <c r="D15" s="86" t="n"/>
      <c r="E15" s="86" t="n"/>
      <c r="F15" s="87">
        <f>E15-D15</f>
        <v/>
      </c>
    </row>
    <row r="16">
      <c r="A16" s="83" t="inlineStr">
        <is>
          <t>Mar</t>
        </is>
      </c>
      <c r="B16" s="86" t="n"/>
      <c r="C16" s="86" t="n"/>
      <c r="D16" s="86" t="n"/>
      <c r="E16" s="86" t="n"/>
      <c r="F16" s="87">
        <f>E16-D16</f>
        <v/>
      </c>
    </row>
    <row r="17">
      <c r="A17" s="83" t="inlineStr">
        <is>
          <t>Apr</t>
        </is>
      </c>
      <c r="B17" s="86" t="n"/>
      <c r="C17" s="86" t="n"/>
      <c r="D17" s="86" t="n"/>
      <c r="E17" s="86" t="n"/>
      <c r="F17" s="87">
        <f>E17-D17</f>
        <v/>
      </c>
    </row>
    <row r="18">
      <c r="A18" s="83" t="inlineStr">
        <is>
          <t>May</t>
        </is>
      </c>
      <c r="B18" s="86" t="n"/>
      <c r="C18" s="86" t="n"/>
      <c r="D18" s="86" t="n"/>
      <c r="E18" s="86" t="n"/>
      <c r="F18" s="87">
        <f>E18-D18</f>
        <v/>
      </c>
    </row>
    <row r="19">
      <c r="A19" s="83" t="inlineStr">
        <is>
          <t>Jun</t>
        </is>
      </c>
      <c r="B19" s="86" t="n"/>
      <c r="C19" s="86" t="n"/>
      <c r="D19" s="86" t="n"/>
      <c r="E19" s="86" t="n"/>
      <c r="F19" s="87">
        <f>E19-D19</f>
        <v/>
      </c>
    </row>
    <row r="20">
      <c r="A20" s="83" t="inlineStr">
        <is>
          <t>Jul</t>
        </is>
      </c>
      <c r="B20" s="86" t="n"/>
      <c r="C20" s="86" t="n"/>
      <c r="D20" s="86" t="n"/>
      <c r="E20" s="86" t="n"/>
      <c r="F20" s="87">
        <f>E20-D20</f>
        <v/>
      </c>
    </row>
    <row r="21">
      <c r="A21" s="83" t="inlineStr">
        <is>
          <t>Aug</t>
        </is>
      </c>
      <c r="B21" s="86" t="n"/>
      <c r="C21" s="86" t="n"/>
      <c r="D21" s="86" t="n"/>
      <c r="E21" s="86" t="n"/>
      <c r="F21" s="87">
        <f>E21-D21</f>
        <v/>
      </c>
    </row>
    <row r="22">
      <c r="A22" s="83" t="inlineStr">
        <is>
          <t>Sep</t>
        </is>
      </c>
      <c r="B22" s="86" t="n"/>
      <c r="C22" s="86" t="n"/>
      <c r="D22" s="86" t="n"/>
      <c r="E22" s="86" t="n"/>
      <c r="F22" s="87">
        <f>E22-D22</f>
        <v/>
      </c>
    </row>
    <row r="23">
      <c r="A23" s="83" t="inlineStr">
        <is>
          <t>Oct</t>
        </is>
      </c>
      <c r="B23" s="86" t="n"/>
      <c r="C23" s="86" t="n"/>
      <c r="D23" s="86" t="n"/>
      <c r="E23" s="86" t="n"/>
      <c r="F23" s="87">
        <f>E23-D23</f>
        <v/>
      </c>
    </row>
    <row r="24">
      <c r="A24" s="83" t="inlineStr">
        <is>
          <t>Nov</t>
        </is>
      </c>
      <c r="B24" s="86" t="n"/>
      <c r="C24" s="86" t="n"/>
      <c r="D24" s="86" t="n"/>
      <c r="E24" s="86" t="n"/>
      <c r="F24" s="87">
        <f>E24-D24</f>
        <v/>
      </c>
    </row>
    <row r="25">
      <c r="A25" s="83" t="inlineStr">
        <is>
          <t>Dec</t>
        </is>
      </c>
      <c r="B25" s="86" t="n"/>
      <c r="C25" s="86" t="n"/>
      <c r="D25" s="86" t="n"/>
      <c r="E25" s="86" t="n"/>
      <c r="F25" s="87">
        <f>E25-D25</f>
        <v/>
      </c>
    </row>
    <row r="26">
      <c r="A26" s="80" t="inlineStr">
        <is>
          <t>Total</t>
        </is>
      </c>
      <c r="B26" s="88">
        <f>SUM(B14:B25)</f>
        <v/>
      </c>
      <c r="C26" s="88">
        <f>SUM(C14:C25)</f>
        <v/>
      </c>
      <c r="D26" s="88">
        <f>SUM(D14:D25)</f>
        <v/>
      </c>
      <c r="E26" s="88">
        <f>SUM(E14:E25)</f>
        <v/>
      </c>
      <c r="F26" s="88">
        <f>SUM(F14:F25)</f>
        <v/>
      </c>
    </row>
    <row r="27">
      <c r="A27" s="41" t="inlineStr">
        <is>
          <t>Latest Enphase snapshot (dashboard view): Produced 3.4 MWh · Consumed 2.6 MWh · Imported 1.3 MWh · Exported 2.2 MWh · Net exported ~872 kWh · Solar offset 134%. Replace with monthly report values above.</t>
        </is>
      </c>
    </row>
    <row r="28"/>
    <row r="30">
      <c r="A30" s="44" t="inlineStr">
        <is>
          <t>③ SAVINGS TO REINVEST</t>
        </is>
      </c>
      <c r="B30" s="45" t="n"/>
      <c r="C30" s="45" t="n"/>
      <c r="D30" s="45" t="n"/>
      <c r="E30" s="45" t="n"/>
      <c r="F30" s="45" t="n"/>
      <c r="G30" s="45" t="n"/>
      <c r="H30" s="45" t="n"/>
    </row>
    <row r="31">
      <c r="A31" t="inlineStr">
        <is>
          <t>Pre-solar baseline bill ($/mo)</t>
        </is>
      </c>
      <c r="B31" s="50" t="n">
        <v>300</v>
      </c>
      <c r="C31" s="47" t="inlineStr">
        <is>
          <t>What you used to pay — this is the money you're freeing up.</t>
        </is>
      </c>
    </row>
    <row r="32">
      <c r="A32" t="inlineStr">
        <is>
          <t>Post-solar actual bill ($/mo)</t>
        </is>
      </c>
      <c r="B32" s="50" t="n">
        <v>10</v>
      </c>
      <c r="C32" s="47" t="inlineStr">
        <is>
          <t>Fixed customer/connection charges that remain.</t>
        </is>
      </c>
    </row>
    <row r="33">
      <c r="A33" s="63" t="inlineStr">
        <is>
          <t>Monthly avoided cost (reinvest)</t>
        </is>
      </c>
      <c r="B33" s="89">
        <f>MAX(0,B31-B32)</f>
        <v/>
      </c>
    </row>
    <row r="34">
      <c r="A34" t="inlineStr">
        <is>
          <t>Annual avoided cost</t>
        </is>
      </c>
      <c r="B34" s="73">
        <f>B33*12</f>
        <v/>
      </c>
    </row>
    <row r="35">
      <c r="A35" t="inlineStr">
        <is>
          <t>SMART incentive ($/kWh)</t>
        </is>
      </c>
      <c r="B35" s="90" t="n">
        <v>0.03</v>
      </c>
    </row>
    <row r="36">
      <c r="A36" t="inlineStr">
        <is>
          <t>Est. annual production (kWh)</t>
        </is>
      </c>
      <c r="B36" s="91" t="n">
        <v>11000</v>
      </c>
    </row>
    <row r="37">
      <c r="A37" t="inlineStr">
        <is>
          <t>Annual SMART payment (yrs 1–10)</t>
        </is>
      </c>
      <c r="B37" s="73">
        <f>B35*B36</f>
        <v/>
      </c>
    </row>
    <row r="38">
      <c r="A38" t="inlineStr">
        <is>
          <t>Blended electric rate ($/kWh)</t>
        </is>
      </c>
      <c r="B38" s="90" t="n">
        <v>0.3</v>
      </c>
      <c r="C38" s="47" t="inlineStr">
        <is>
          <t>Used to value net-metering credits from exports.</t>
        </is>
      </c>
    </row>
    <row r="40">
      <c r="A40" s="44" t="inlineStr">
        <is>
          <t>④ REINVESTMENT MODEL — accelerate the ROI</t>
        </is>
      </c>
      <c r="B40" s="45" t="n"/>
      <c r="C40" s="45" t="n"/>
      <c r="D40" s="45" t="n"/>
      <c r="E40" s="45" t="n"/>
      <c r="F40" s="45" t="n"/>
      <c r="G40" s="45" t="n"/>
      <c r="H40" s="45" t="n"/>
    </row>
    <row r="41">
      <c r="A41" t="inlineStr">
        <is>
          <t>Reinvestment return (nominal)</t>
        </is>
      </c>
      <c r="B41" s="51" t="n">
        <v>0.07000000000000001</v>
      </c>
      <c r="C41" s="47" t="inlineStr">
        <is>
          <t>Matches the 7% on your Scenarios tab.</t>
        </is>
      </c>
    </row>
    <row r="42">
      <c r="A42" t="inlineStr">
        <is>
          <t>Electric rate escalation (%/yr)</t>
        </is>
      </c>
      <c r="B42" s="51" t="n">
        <v>0.04</v>
      </c>
    </row>
    <row r="43">
      <c r="A43" t="inlineStr">
        <is>
          <t>Horizon (years)</t>
        </is>
      </c>
      <c r="B43" s="49" t="n">
        <v>25</v>
      </c>
    </row>
    <row r="44">
      <c r="A44" t="inlineStr">
        <is>
          <t>First full year</t>
        </is>
      </c>
      <c r="B44" s="49" t="n">
        <v>2026</v>
      </c>
    </row>
    <row r="46" ht="28" customHeight="1" s="39">
      <c r="A46" s="65" t="inlineStr">
        <is>
          <t>Year</t>
        </is>
      </c>
      <c r="B46" s="65" t="inlineStr">
        <is>
          <t>Calendar</t>
        </is>
      </c>
      <c r="C46" s="65" t="inlineStr">
        <is>
          <t>Avoided cost</t>
        </is>
      </c>
      <c r="D46" s="65" t="inlineStr">
        <is>
          <t>SMART</t>
        </is>
      </c>
      <c r="E46" s="65" t="inlineStr">
        <is>
          <t>Reinvested/yr</t>
        </is>
      </c>
      <c r="F46" s="65" t="inlineStr">
        <is>
          <t>Reinvested bal.</t>
        </is>
      </c>
      <c r="G46" s="65" t="inlineStr">
        <is>
          <t>Simple cum.</t>
        </is>
      </c>
      <c r="H46" s="65" t="inlineStr">
        <is>
          <t>Status</t>
        </is>
      </c>
    </row>
    <row r="47">
      <c r="A47" s="55" t="n">
        <v>1</v>
      </c>
      <c r="B47" s="92">
        <f>$B$44+(A47-1)</f>
        <v/>
      </c>
      <c r="C47" s="68">
        <f>$B$34*(1+$B$42)^(A47-1)</f>
        <v/>
      </c>
      <c r="D47" s="68">
        <f>IF(A47&lt;=10,$B$37,0)</f>
        <v/>
      </c>
      <c r="E47" s="68">
        <f>C47+D47</f>
        <v/>
      </c>
      <c r="F47" s="85">
        <f>E47</f>
        <v/>
      </c>
      <c r="G47" s="68">
        <f>E47</f>
        <v/>
      </c>
      <c r="H47" s="83">
        <f>IF(F47&gt;=$B$9,"◄ accelerated payback",IF(G47&gt;=$B$9,"simple payback",""))</f>
        <v/>
      </c>
    </row>
    <row r="48">
      <c r="A48" s="55" t="n">
        <v>2</v>
      </c>
      <c r="B48" s="92">
        <f>$B$44+(A48-1)</f>
        <v/>
      </c>
      <c r="C48" s="68">
        <f>$B$34*(1+$B$42)^(A48-1)</f>
        <v/>
      </c>
      <c r="D48" s="68">
        <f>IF(A48&lt;=10,$B$37,0)</f>
        <v/>
      </c>
      <c r="E48" s="68">
        <f>C48+D48</f>
        <v/>
      </c>
      <c r="F48" s="85">
        <f>F47*(1+$B$41)+E48</f>
        <v/>
      </c>
      <c r="G48" s="68">
        <f>G47+E48</f>
        <v/>
      </c>
      <c r="H48" s="83">
        <f>IF(F48&gt;=$B$9,"◄ accelerated payback",IF(G48&gt;=$B$9,"simple payback",""))</f>
        <v/>
      </c>
    </row>
    <row r="49">
      <c r="A49" s="55" t="n">
        <v>3</v>
      </c>
      <c r="B49" s="92">
        <f>$B$44+(A49-1)</f>
        <v/>
      </c>
      <c r="C49" s="68">
        <f>$B$34*(1+$B$42)^(A49-1)</f>
        <v/>
      </c>
      <c r="D49" s="68">
        <f>IF(A49&lt;=10,$B$37,0)</f>
        <v/>
      </c>
      <c r="E49" s="68">
        <f>C49+D49</f>
        <v/>
      </c>
      <c r="F49" s="85">
        <f>F48*(1+$B$41)+E49</f>
        <v/>
      </c>
      <c r="G49" s="68">
        <f>G48+E49</f>
        <v/>
      </c>
      <c r="H49" s="83">
        <f>IF(F49&gt;=$B$9,"◄ accelerated payback",IF(G49&gt;=$B$9,"simple payback",""))</f>
        <v/>
      </c>
    </row>
    <row r="50">
      <c r="A50" s="55" t="n">
        <v>4</v>
      </c>
      <c r="B50" s="92">
        <f>$B$44+(A50-1)</f>
        <v/>
      </c>
      <c r="C50" s="68">
        <f>$B$34*(1+$B$42)^(A50-1)</f>
        <v/>
      </c>
      <c r="D50" s="68">
        <f>IF(A50&lt;=10,$B$37,0)</f>
        <v/>
      </c>
      <c r="E50" s="68">
        <f>C50+D50</f>
        <v/>
      </c>
      <c r="F50" s="85">
        <f>F49*(1+$B$41)+E50</f>
        <v/>
      </c>
      <c r="G50" s="68">
        <f>G49+E50</f>
        <v/>
      </c>
      <c r="H50" s="83">
        <f>IF(F50&gt;=$B$9,"◄ accelerated payback",IF(G50&gt;=$B$9,"simple payback",""))</f>
        <v/>
      </c>
    </row>
    <row r="51">
      <c r="A51" s="55" t="n">
        <v>5</v>
      </c>
      <c r="B51" s="92">
        <f>$B$44+(A51-1)</f>
        <v/>
      </c>
      <c r="C51" s="68">
        <f>$B$34*(1+$B$42)^(A51-1)</f>
        <v/>
      </c>
      <c r="D51" s="68">
        <f>IF(A51&lt;=10,$B$37,0)</f>
        <v/>
      </c>
      <c r="E51" s="68">
        <f>C51+D51</f>
        <v/>
      </c>
      <c r="F51" s="85">
        <f>F50*(1+$B$41)+E51</f>
        <v/>
      </c>
      <c r="G51" s="68">
        <f>G50+E51</f>
        <v/>
      </c>
      <c r="H51" s="83">
        <f>IF(F51&gt;=$B$9,"◄ accelerated payback",IF(G51&gt;=$B$9,"simple payback",""))</f>
        <v/>
      </c>
    </row>
    <row r="52">
      <c r="A52" s="55" t="n">
        <v>6</v>
      </c>
      <c r="B52" s="92">
        <f>$B$44+(A52-1)</f>
        <v/>
      </c>
      <c r="C52" s="68">
        <f>$B$34*(1+$B$42)^(A52-1)</f>
        <v/>
      </c>
      <c r="D52" s="68">
        <f>IF(A52&lt;=10,$B$37,0)</f>
        <v/>
      </c>
      <c r="E52" s="68">
        <f>C52+D52</f>
        <v/>
      </c>
      <c r="F52" s="85">
        <f>F51*(1+$B$41)+E52</f>
        <v/>
      </c>
      <c r="G52" s="68">
        <f>G51+E52</f>
        <v/>
      </c>
      <c r="H52" s="83">
        <f>IF(F52&gt;=$B$9,"◄ accelerated payback",IF(G52&gt;=$B$9,"simple payback",""))</f>
        <v/>
      </c>
    </row>
    <row r="53">
      <c r="A53" s="55" t="n">
        <v>7</v>
      </c>
      <c r="B53" s="92">
        <f>$B$44+(A53-1)</f>
        <v/>
      </c>
      <c r="C53" s="68">
        <f>$B$34*(1+$B$42)^(A53-1)</f>
        <v/>
      </c>
      <c r="D53" s="68">
        <f>IF(A53&lt;=10,$B$37,0)</f>
        <v/>
      </c>
      <c r="E53" s="68">
        <f>C53+D53</f>
        <v/>
      </c>
      <c r="F53" s="85">
        <f>F52*(1+$B$41)+E53</f>
        <v/>
      </c>
      <c r="G53" s="68">
        <f>G52+E53</f>
        <v/>
      </c>
      <c r="H53" s="83">
        <f>IF(F53&gt;=$B$9,"◄ accelerated payback",IF(G53&gt;=$B$9,"simple payback",""))</f>
        <v/>
      </c>
    </row>
    <row r="54">
      <c r="A54" s="55" t="n">
        <v>8</v>
      </c>
      <c r="B54" s="92">
        <f>$B$44+(A54-1)</f>
        <v/>
      </c>
      <c r="C54" s="68">
        <f>$B$34*(1+$B$42)^(A54-1)</f>
        <v/>
      </c>
      <c r="D54" s="68">
        <f>IF(A54&lt;=10,$B$37,0)</f>
        <v/>
      </c>
      <c r="E54" s="68">
        <f>C54+D54</f>
        <v/>
      </c>
      <c r="F54" s="85">
        <f>F53*(1+$B$41)+E54</f>
        <v/>
      </c>
      <c r="G54" s="68">
        <f>G53+E54</f>
        <v/>
      </c>
      <c r="H54" s="83">
        <f>IF(F54&gt;=$B$9,"◄ accelerated payback",IF(G54&gt;=$B$9,"simple payback",""))</f>
        <v/>
      </c>
    </row>
    <row r="55">
      <c r="A55" s="55" t="n">
        <v>9</v>
      </c>
      <c r="B55" s="92">
        <f>$B$44+(A55-1)</f>
        <v/>
      </c>
      <c r="C55" s="68">
        <f>$B$34*(1+$B$42)^(A55-1)</f>
        <v/>
      </c>
      <c r="D55" s="68">
        <f>IF(A55&lt;=10,$B$37,0)</f>
        <v/>
      </c>
      <c r="E55" s="68">
        <f>C55+D55</f>
        <v/>
      </c>
      <c r="F55" s="85">
        <f>F54*(1+$B$41)+E55</f>
        <v/>
      </c>
      <c r="G55" s="68">
        <f>G54+E55</f>
        <v/>
      </c>
      <c r="H55" s="83">
        <f>IF(F55&gt;=$B$9,"◄ accelerated payback",IF(G55&gt;=$B$9,"simple payback",""))</f>
        <v/>
      </c>
    </row>
    <row r="56">
      <c r="A56" s="55" t="n">
        <v>10</v>
      </c>
      <c r="B56" s="92">
        <f>$B$44+(A56-1)</f>
        <v/>
      </c>
      <c r="C56" s="68">
        <f>$B$34*(1+$B$42)^(A56-1)</f>
        <v/>
      </c>
      <c r="D56" s="68">
        <f>IF(A56&lt;=10,$B$37,0)</f>
        <v/>
      </c>
      <c r="E56" s="68">
        <f>C56+D56</f>
        <v/>
      </c>
      <c r="F56" s="85">
        <f>F55*(1+$B$41)+E56</f>
        <v/>
      </c>
      <c r="G56" s="68">
        <f>G55+E56</f>
        <v/>
      </c>
      <c r="H56" s="83">
        <f>IF(F56&gt;=$B$9,"◄ accelerated payback",IF(G56&gt;=$B$9,"simple payback",""))</f>
        <v/>
      </c>
    </row>
    <row r="57">
      <c r="A57" s="55" t="n">
        <v>11</v>
      </c>
      <c r="B57" s="92">
        <f>$B$44+(A57-1)</f>
        <v/>
      </c>
      <c r="C57" s="68">
        <f>$B$34*(1+$B$42)^(A57-1)</f>
        <v/>
      </c>
      <c r="D57" s="68">
        <f>IF(A57&lt;=10,$B$37,0)</f>
        <v/>
      </c>
      <c r="E57" s="68">
        <f>C57+D57</f>
        <v/>
      </c>
      <c r="F57" s="85">
        <f>F56*(1+$B$41)+E57</f>
        <v/>
      </c>
      <c r="G57" s="68">
        <f>G56+E57</f>
        <v/>
      </c>
      <c r="H57" s="83">
        <f>IF(F57&gt;=$B$9,"◄ accelerated payback",IF(G57&gt;=$B$9,"simple payback",""))</f>
        <v/>
      </c>
    </row>
    <row r="58">
      <c r="A58" s="55" t="n">
        <v>12</v>
      </c>
      <c r="B58" s="92">
        <f>$B$44+(A58-1)</f>
        <v/>
      </c>
      <c r="C58" s="68">
        <f>$B$34*(1+$B$42)^(A58-1)</f>
        <v/>
      </c>
      <c r="D58" s="68">
        <f>IF(A58&lt;=10,$B$37,0)</f>
        <v/>
      </c>
      <c r="E58" s="68">
        <f>C58+D58</f>
        <v/>
      </c>
      <c r="F58" s="85">
        <f>F57*(1+$B$41)+E58</f>
        <v/>
      </c>
      <c r="G58" s="68">
        <f>G57+E58</f>
        <v/>
      </c>
      <c r="H58" s="83">
        <f>IF(F58&gt;=$B$9,"◄ accelerated payback",IF(G58&gt;=$B$9,"simple payback",""))</f>
        <v/>
      </c>
    </row>
    <row r="59">
      <c r="A59" s="55" t="n">
        <v>13</v>
      </c>
      <c r="B59" s="92">
        <f>$B$44+(A59-1)</f>
        <v/>
      </c>
      <c r="C59" s="68">
        <f>$B$34*(1+$B$42)^(A59-1)</f>
        <v/>
      </c>
      <c r="D59" s="68">
        <f>IF(A59&lt;=10,$B$37,0)</f>
        <v/>
      </c>
      <c r="E59" s="68">
        <f>C59+D59</f>
        <v/>
      </c>
      <c r="F59" s="85">
        <f>F58*(1+$B$41)+E59</f>
        <v/>
      </c>
      <c r="G59" s="68">
        <f>G58+E59</f>
        <v/>
      </c>
      <c r="H59" s="83">
        <f>IF(F59&gt;=$B$9,"◄ accelerated payback",IF(G59&gt;=$B$9,"simple payback",""))</f>
        <v/>
      </c>
    </row>
    <row r="60">
      <c r="A60" s="55" t="n">
        <v>14</v>
      </c>
      <c r="B60" s="92">
        <f>$B$44+(A60-1)</f>
        <v/>
      </c>
      <c r="C60" s="68">
        <f>$B$34*(1+$B$42)^(A60-1)</f>
        <v/>
      </c>
      <c r="D60" s="68">
        <f>IF(A60&lt;=10,$B$37,0)</f>
        <v/>
      </c>
      <c r="E60" s="68">
        <f>C60+D60</f>
        <v/>
      </c>
      <c r="F60" s="85">
        <f>F59*(1+$B$41)+E60</f>
        <v/>
      </c>
      <c r="G60" s="68">
        <f>G59+E60</f>
        <v/>
      </c>
      <c r="H60" s="83">
        <f>IF(F60&gt;=$B$9,"◄ accelerated payback",IF(G60&gt;=$B$9,"simple payback",""))</f>
        <v/>
      </c>
    </row>
    <row r="61">
      <c r="A61" s="55" t="n">
        <v>15</v>
      </c>
      <c r="B61" s="92">
        <f>$B$44+(A61-1)</f>
        <v/>
      </c>
      <c r="C61" s="68">
        <f>$B$34*(1+$B$42)^(A61-1)</f>
        <v/>
      </c>
      <c r="D61" s="68">
        <f>IF(A61&lt;=10,$B$37,0)</f>
        <v/>
      </c>
      <c r="E61" s="68">
        <f>C61+D61</f>
        <v/>
      </c>
      <c r="F61" s="85">
        <f>F60*(1+$B$41)+E61</f>
        <v/>
      </c>
      <c r="G61" s="68">
        <f>G60+E61</f>
        <v/>
      </c>
      <c r="H61" s="83">
        <f>IF(F61&gt;=$B$9,"◄ accelerated payback",IF(G61&gt;=$B$9,"simple payback",""))</f>
        <v/>
      </c>
    </row>
    <row r="62">
      <c r="A62" s="55" t="n">
        <v>16</v>
      </c>
      <c r="B62" s="92">
        <f>$B$44+(A62-1)</f>
        <v/>
      </c>
      <c r="C62" s="68">
        <f>$B$34*(1+$B$42)^(A62-1)</f>
        <v/>
      </c>
      <c r="D62" s="68">
        <f>IF(A62&lt;=10,$B$37,0)</f>
        <v/>
      </c>
      <c r="E62" s="68">
        <f>C62+D62</f>
        <v/>
      </c>
      <c r="F62" s="85">
        <f>F61*(1+$B$41)+E62</f>
        <v/>
      </c>
      <c r="G62" s="68">
        <f>G61+E62</f>
        <v/>
      </c>
      <c r="H62" s="83">
        <f>IF(F62&gt;=$B$9,"◄ accelerated payback",IF(G62&gt;=$B$9,"simple payback",""))</f>
        <v/>
      </c>
    </row>
    <row r="63">
      <c r="A63" s="55" t="n">
        <v>17</v>
      </c>
      <c r="B63" s="92">
        <f>$B$44+(A63-1)</f>
        <v/>
      </c>
      <c r="C63" s="68">
        <f>$B$34*(1+$B$42)^(A63-1)</f>
        <v/>
      </c>
      <c r="D63" s="68">
        <f>IF(A63&lt;=10,$B$37,0)</f>
        <v/>
      </c>
      <c r="E63" s="68">
        <f>C63+D63</f>
        <v/>
      </c>
      <c r="F63" s="85">
        <f>F62*(1+$B$41)+E63</f>
        <v/>
      </c>
      <c r="G63" s="68">
        <f>G62+E63</f>
        <v/>
      </c>
      <c r="H63" s="83">
        <f>IF(F63&gt;=$B$9,"◄ accelerated payback",IF(G63&gt;=$B$9,"simple payback",""))</f>
        <v/>
      </c>
    </row>
    <row r="64">
      <c r="A64" s="55" t="n">
        <v>18</v>
      </c>
      <c r="B64" s="92">
        <f>$B$44+(A64-1)</f>
        <v/>
      </c>
      <c r="C64" s="68">
        <f>$B$34*(1+$B$42)^(A64-1)</f>
        <v/>
      </c>
      <c r="D64" s="68">
        <f>IF(A64&lt;=10,$B$37,0)</f>
        <v/>
      </c>
      <c r="E64" s="68">
        <f>C64+D64</f>
        <v/>
      </c>
      <c r="F64" s="85">
        <f>F63*(1+$B$41)+E64</f>
        <v/>
      </c>
      <c r="G64" s="68">
        <f>G63+E64</f>
        <v/>
      </c>
      <c r="H64" s="83">
        <f>IF(F64&gt;=$B$9,"◄ accelerated payback",IF(G64&gt;=$B$9,"simple payback",""))</f>
        <v/>
      </c>
    </row>
    <row r="65">
      <c r="A65" s="55" t="n">
        <v>19</v>
      </c>
      <c r="B65" s="92">
        <f>$B$44+(A65-1)</f>
        <v/>
      </c>
      <c r="C65" s="68">
        <f>$B$34*(1+$B$42)^(A65-1)</f>
        <v/>
      </c>
      <c r="D65" s="68">
        <f>IF(A65&lt;=10,$B$37,0)</f>
        <v/>
      </c>
      <c r="E65" s="68">
        <f>C65+D65</f>
        <v/>
      </c>
      <c r="F65" s="85">
        <f>F64*(1+$B$41)+E65</f>
        <v/>
      </c>
      <c r="G65" s="68">
        <f>G64+E65</f>
        <v/>
      </c>
      <c r="H65" s="83">
        <f>IF(F65&gt;=$B$9,"◄ accelerated payback",IF(G65&gt;=$B$9,"simple payback",""))</f>
        <v/>
      </c>
    </row>
    <row r="66">
      <c r="A66" s="55" t="n">
        <v>20</v>
      </c>
      <c r="B66" s="92">
        <f>$B$44+(A66-1)</f>
        <v/>
      </c>
      <c r="C66" s="68">
        <f>$B$34*(1+$B$42)^(A66-1)</f>
        <v/>
      </c>
      <c r="D66" s="68">
        <f>IF(A66&lt;=10,$B$37,0)</f>
        <v/>
      </c>
      <c r="E66" s="68">
        <f>C66+D66</f>
        <v/>
      </c>
      <c r="F66" s="85">
        <f>F65*(1+$B$41)+E66</f>
        <v/>
      </c>
      <c r="G66" s="68">
        <f>G65+E66</f>
        <v/>
      </c>
      <c r="H66" s="83">
        <f>IF(F66&gt;=$B$9,"◄ accelerated payback",IF(G66&gt;=$B$9,"simple payback",""))</f>
        <v/>
      </c>
    </row>
    <row r="67">
      <c r="A67" s="55" t="n">
        <v>21</v>
      </c>
      <c r="B67" s="92">
        <f>$B$44+(A67-1)</f>
        <v/>
      </c>
      <c r="C67" s="68">
        <f>$B$34*(1+$B$42)^(A67-1)</f>
        <v/>
      </c>
      <c r="D67" s="68">
        <f>IF(A67&lt;=10,$B$37,0)</f>
        <v/>
      </c>
      <c r="E67" s="68">
        <f>C67+D67</f>
        <v/>
      </c>
      <c r="F67" s="85">
        <f>F66*(1+$B$41)+E67</f>
        <v/>
      </c>
      <c r="G67" s="68">
        <f>G66+E67</f>
        <v/>
      </c>
      <c r="H67" s="83">
        <f>IF(F67&gt;=$B$9,"◄ accelerated payback",IF(G67&gt;=$B$9,"simple payback",""))</f>
        <v/>
      </c>
    </row>
    <row r="68">
      <c r="A68" s="55" t="n">
        <v>22</v>
      </c>
      <c r="B68" s="92">
        <f>$B$44+(A68-1)</f>
        <v/>
      </c>
      <c r="C68" s="68">
        <f>$B$34*(1+$B$42)^(A68-1)</f>
        <v/>
      </c>
      <c r="D68" s="68">
        <f>IF(A68&lt;=10,$B$37,0)</f>
        <v/>
      </c>
      <c r="E68" s="68">
        <f>C68+D68</f>
        <v/>
      </c>
      <c r="F68" s="85">
        <f>F67*(1+$B$41)+E68</f>
        <v/>
      </c>
      <c r="G68" s="68">
        <f>G67+E68</f>
        <v/>
      </c>
      <c r="H68" s="83">
        <f>IF(F68&gt;=$B$9,"◄ accelerated payback",IF(G68&gt;=$B$9,"simple payback",""))</f>
        <v/>
      </c>
    </row>
    <row r="69">
      <c r="A69" s="55" t="n">
        <v>23</v>
      </c>
      <c r="B69" s="92">
        <f>$B$44+(A69-1)</f>
        <v/>
      </c>
      <c r="C69" s="68">
        <f>$B$34*(1+$B$42)^(A69-1)</f>
        <v/>
      </c>
      <c r="D69" s="68">
        <f>IF(A69&lt;=10,$B$37,0)</f>
        <v/>
      </c>
      <c r="E69" s="68">
        <f>C69+D69</f>
        <v/>
      </c>
      <c r="F69" s="85">
        <f>F68*(1+$B$41)+E69</f>
        <v/>
      </c>
      <c r="G69" s="68">
        <f>G68+E69</f>
        <v/>
      </c>
      <c r="H69" s="83">
        <f>IF(F69&gt;=$B$9,"◄ accelerated payback",IF(G69&gt;=$B$9,"simple payback",""))</f>
        <v/>
      </c>
    </row>
    <row r="70">
      <c r="A70" s="55" t="n">
        <v>24</v>
      </c>
      <c r="B70" s="92">
        <f>$B$44+(A70-1)</f>
        <v/>
      </c>
      <c r="C70" s="68">
        <f>$B$34*(1+$B$42)^(A70-1)</f>
        <v/>
      </c>
      <c r="D70" s="68">
        <f>IF(A70&lt;=10,$B$37,0)</f>
        <v/>
      </c>
      <c r="E70" s="68">
        <f>C70+D70</f>
        <v/>
      </c>
      <c r="F70" s="85">
        <f>F69*(1+$B$41)+E70</f>
        <v/>
      </c>
      <c r="G70" s="68">
        <f>G69+E70</f>
        <v/>
      </c>
      <c r="H70" s="83">
        <f>IF(F70&gt;=$B$9,"◄ accelerated payback",IF(G70&gt;=$B$9,"simple payback",""))</f>
        <v/>
      </c>
    </row>
    <row r="71">
      <c r="A71" s="55" t="n">
        <v>25</v>
      </c>
      <c r="B71" s="92">
        <f>$B$44+(A71-1)</f>
        <v/>
      </c>
      <c r="C71" s="68">
        <f>$B$34*(1+$B$42)^(A71-1)</f>
        <v/>
      </c>
      <c r="D71" s="68">
        <f>IF(A71&lt;=10,$B$37,0)</f>
        <v/>
      </c>
      <c r="E71" s="68">
        <f>C71+D71</f>
        <v/>
      </c>
      <c r="F71" s="85">
        <f>F70*(1+$B$41)+E71</f>
        <v/>
      </c>
      <c r="G71" s="68">
        <f>G70+E71</f>
        <v/>
      </c>
      <c r="H71" s="83">
        <f>IF(F71&gt;=$B$9,"◄ accelerated payback",IF(G71&gt;=$B$9,"simple payback",""))</f>
        <v/>
      </c>
    </row>
    <row r="73">
      <c r="A73" s="63" t="inlineStr">
        <is>
          <t>Simple payback (year #):</t>
        </is>
      </c>
      <c r="C73" s="69">
        <f>IFERROR(INDEX(A47:A71,MATCH(TRUE,INDEX(G47:G71&gt;=$B$9,0),0)),"&gt;25")</f>
        <v/>
      </c>
    </row>
    <row r="74">
      <c r="A74" s="63" t="inlineStr">
        <is>
          <t>Accelerated payback (year #):</t>
        </is>
      </c>
      <c r="C74" s="69">
        <f>IFERROR(INDEX(A47:A71,MATCH(TRUE,INDEX(F47:F71&gt;=$B$9,0),0)),"&gt;25")</f>
        <v/>
      </c>
    </row>
    <row r="75">
      <c r="A75" s="63" t="inlineStr">
        <is>
          <t>Reinvested value at horizon:</t>
        </is>
      </c>
      <c r="C75" s="64">
        <f>INDEX(F47:F71,MATCH($B$43,A47:A71,0))</f>
        <v/>
      </c>
    </row>
    <row r="76">
      <c r="A76" s="63" t="inlineStr">
        <is>
          <t>Net gain (value − net capital):</t>
        </is>
      </c>
      <c r="C76" s="64">
        <f>C75-B9</f>
        <v/>
      </c>
    </row>
    <row r="78">
      <c r="A78" s="41" t="inlineStr">
        <is>
          <t>Takeaway: 'Simple payback' is when avoided bills alone repay the system. 'Accelerated payback' is when those same dollars — invested at your return — repay it. The gap between them, and the horizon value above, is the compounding you unlock by reinvesting instead of just banking lower bills. Add the monthly avoided cost (B33) to the FIRE Dashboard contributions to fold it into your savings rate.</t>
        </is>
      </c>
    </row>
    <row r="79"/>
    <row r="80"/>
  </sheetData>
  <mergeCells count="9">
    <mergeCell ref="A12:H12"/>
    <mergeCell ref="C6:H6"/>
    <mergeCell ref="C32:H32"/>
    <mergeCell ref="C38:H38"/>
    <mergeCell ref="C41:H41"/>
    <mergeCell ref="A2:H2"/>
    <mergeCell ref="C31:H31"/>
    <mergeCell ref="A78:H80"/>
    <mergeCell ref="A27:H28"/>
  </mergeCells>
  <pageMargins left="0.75" right="0.75" top="1" bottom="1" header="0.5" footer="0.5"/>
</worksheet>
</file>

<file path=xl/worksheets/sheet17.xml><?xml version="1.0" encoding="utf-8"?>
<worksheet xmlns="http://schemas.openxmlformats.org/spreadsheetml/2006/main">
  <sheetPr>
    <tabColor rgb="00548235"/>
    <outlinePr summaryBelow="1" summaryRight="1"/>
    <pageSetUpPr/>
  </sheetPr>
  <dimension ref="A1:C33"/>
  <sheetViews>
    <sheetView workbookViewId="0">
      <selection activeCell="A1" sqref="A1"/>
    </sheetView>
  </sheetViews>
  <sheetFormatPr baseColWidth="8" defaultRowHeight="15"/>
  <cols>
    <col width="38" customWidth="1" style="39" min="1" max="1"/>
    <col width="14" customWidth="1" style="39" min="2" max="2"/>
    <col width="50" customWidth="1" style="39" min="3" max="3"/>
  </cols>
  <sheetData>
    <row r="1">
      <c r="A1" s="42" t="inlineStr">
        <is>
          <t>HSA Election Planner — November open enrollment</t>
        </is>
      </c>
    </row>
    <row r="2" ht="34" customHeight="1" s="39">
      <c r="A2" s="43" t="inlineStr">
        <is>
          <t>Turns your freed-up cash (solar + mobile + old FSA) into a concrete HSA election for the 2027 plan year. ORANGE = inputs. Educational planning, not tax advice.</t>
        </is>
      </c>
    </row>
    <row r="4">
      <c r="A4" s="44" t="inlineStr">
        <is>
          <t>① 2027 HSA LIMIT</t>
        </is>
      </c>
      <c r="B4" s="45" t="n"/>
      <c r="C4" s="45" t="n"/>
    </row>
    <row r="5">
      <c r="A5" t="inlineStr">
        <is>
          <t>Coverage type</t>
        </is>
      </c>
      <c r="B5" s="54" t="inlineStr">
        <is>
          <t>Family</t>
        </is>
      </c>
    </row>
    <row r="6">
      <c r="A6" t="inlineStr">
        <is>
          <t>2027 HSA limit (family)</t>
        </is>
      </c>
      <c r="B6" s="73" t="n">
        <v>9000</v>
      </c>
      <c r="C6" s="47" t="inlineStr">
        <is>
          <t>Self-only 2027 = $4,500. Family = $9,000.</t>
        </is>
      </c>
    </row>
    <row r="7">
      <c r="A7" t="inlineStr">
        <is>
          <t>Catch-up (age 55+, each)</t>
        </is>
      </c>
      <c r="B7" s="73" t="n">
        <v>0</v>
      </c>
      <c r="C7" s="47" t="inlineStr">
        <is>
          <t>You're 45 — the +$1,000 each starts in 2036.</t>
        </is>
      </c>
    </row>
    <row r="8">
      <c r="A8" t="inlineStr">
        <is>
          <t>Employer HSA seed/contribution</t>
        </is>
      </c>
      <c r="B8" s="50" t="n">
        <v>0</v>
      </c>
      <c r="C8" s="47" t="inlineStr">
        <is>
          <t>If MathWorks seeds the HSA, it counts against the limit — enter it.</t>
        </is>
      </c>
    </row>
    <row r="9">
      <c r="A9" s="63" t="inlineStr">
        <is>
          <t>Your max employee election</t>
        </is>
      </c>
      <c r="B9" s="64">
        <f>B6+B7-B8</f>
        <v/>
      </c>
    </row>
    <row r="10">
      <c r="A10" t="inlineStr">
        <is>
          <t>Pay periods / year</t>
        </is>
      </c>
      <c r="B10" s="49" t="n">
        <v>26</v>
      </c>
      <c r="C10" s="47" t="inlineStr">
        <is>
          <t>MathWorks is biweekly = 26.</t>
        </is>
      </c>
    </row>
    <row r="11">
      <c r="A11" t="inlineStr">
        <is>
          <t>Max per paycheck</t>
        </is>
      </c>
      <c r="B11" s="73">
        <f>B9/B10</f>
        <v/>
      </c>
    </row>
    <row r="13">
      <c r="A13" s="44" t="inlineStr">
        <is>
          <t>② FREED-UP CASH TO REDIRECT  (annual)</t>
        </is>
      </c>
      <c r="B13" s="45" t="n"/>
      <c r="C13" s="45" t="n"/>
    </row>
    <row r="14">
      <c r="A14" t="inlineStr">
        <is>
          <t>Solar avoided cost (from Solar tab)</t>
        </is>
      </c>
      <c r="B14" s="73">
        <f>'Solar Reinvestment'!B34</f>
        <v/>
      </c>
    </row>
    <row r="15">
      <c r="A15" t="inlineStr">
        <is>
          <t>Mobile / phone savings</t>
        </is>
      </c>
      <c r="B15" s="50" t="n">
        <v>600</v>
      </c>
      <c r="C15" s="47" t="inlineStr">
        <is>
          <t>From switching to the cheaper carrier.</t>
        </is>
      </c>
    </row>
    <row r="16">
      <c r="A16" t="inlineStr">
        <is>
          <t>Former FSA Health Care contribution</t>
        </is>
      </c>
      <c r="B16" s="50" t="n">
        <v>2500</v>
      </c>
      <c r="C16" s="47" t="inlineStr">
        <is>
          <t>What you were putting in the FSA (~$96/pay × 26). This moves to the HSA.</t>
        </is>
      </c>
    </row>
    <row r="17">
      <c r="A17" t="inlineStr">
        <is>
          <t>Other freed cash</t>
        </is>
      </c>
      <c r="B17" s="50" t="n">
        <v>0</v>
      </c>
    </row>
    <row r="18">
      <c r="A18" s="63" t="inlineStr">
        <is>
          <t>TOTAL new annual money</t>
        </is>
      </c>
      <c r="B18" s="64">
        <f>SUM(B14:B17)</f>
        <v/>
      </c>
    </row>
    <row r="20">
      <c r="A20" s="44" t="inlineStr">
        <is>
          <t>③ ELECTION PLAN</t>
        </is>
      </c>
      <c r="B20" s="45" t="n"/>
      <c r="C20" s="45" t="n"/>
    </row>
    <row r="21">
      <c r="A21" t="inlineStr">
        <is>
          <t>Suggested election (fund HSA from freed cash)</t>
        </is>
      </c>
      <c r="B21" s="73">
        <f>MIN(B9,B18)</f>
        <v/>
      </c>
      <c r="C21" s="47" t="inlineStr">
        <is>
          <t>Fund the more tax-efficient HSA first, up to the limit.</t>
        </is>
      </c>
    </row>
    <row r="22">
      <c r="A22" t="inlineStr">
        <is>
          <t>Your chosen HSA election</t>
        </is>
      </c>
      <c r="B22" s="50">
        <f>B21</f>
        <v/>
      </c>
      <c r="C22" s="47" t="inlineStr">
        <is>
          <t>Override with the number you actually elect.</t>
        </is>
      </c>
    </row>
    <row r="23">
      <c r="A23" s="63" t="inlineStr">
        <is>
          <t>→ Per paycheck</t>
        </is>
      </c>
      <c r="B23" s="64">
        <f>B22/B10</f>
        <v/>
      </c>
    </row>
    <row r="24">
      <c r="A24" t="inlineStr">
        <is>
          <t>→ % of family limit used</t>
        </is>
      </c>
      <c r="B24" s="93">
        <f>B22/B6</f>
        <v/>
      </c>
    </row>
    <row r="25">
      <c r="A25" t="inlineStr">
        <is>
          <t>Remaining freed cash → IRAs</t>
        </is>
      </c>
      <c r="B25" s="73">
        <f>MAX(0,B18-B22)</f>
        <v/>
      </c>
    </row>
    <row r="26">
      <c r="A26" t="inlineStr">
        <is>
          <t>Extra needed to hit $9,000 max</t>
        </is>
      </c>
      <c r="B26" s="73">
        <f>MAX(0,B9-B18)</f>
        <v/>
      </c>
      <c r="C26" s="47" t="inlineStr">
        <is>
          <t>Shortfall between freed cash and a full max — pull from elsewhere if you want to top out.</t>
        </is>
      </c>
    </row>
    <row r="28">
      <c r="A28" s="44" t="inlineStr">
        <is>
          <t>④ DECISION NOTES  (from our planning)</t>
        </is>
      </c>
      <c r="B28" s="45" t="n"/>
      <c r="C28" s="45" t="n"/>
    </row>
    <row r="29" ht="28" customHeight="1" s="39">
      <c r="A29" s="41" t="inlineStr">
        <is>
          <t>• HSA is the most tax-efficient bucket (triple advantage + the payroll-tax break) — fund it first from freed cash, then overflow to IRAs.</t>
        </is>
      </c>
    </row>
    <row r="30" ht="28" customHeight="1" s="39">
      <c r="A30" s="41" t="inlineStr">
        <is>
          <t>• Orthodontia: pay out of pocket, save every receipt, let the HSA stay invested and reimburse yourself later (the 'shoebox' growth play).</t>
        </is>
      </c>
    </row>
    <row r="31" ht="28" customHeight="1" s="39">
      <c r="A31" s="41" t="inlineStr">
        <is>
          <t>• Open + fund the HSA (even $1) BEFORE the first ortho expense — expenses incurred before the account exists can never be reimbursed.</t>
        </is>
      </c>
    </row>
    <row r="32" ht="28" customHeight="1" s="39">
      <c r="A32" s="41" t="inlineStr">
        <is>
          <t>• Confirm your 2026 FSA has no carryover/grace period bleeding into 2027 — it can block HSA eligibility early in the year. Consider a limited-purpose (dental/vision) FSA.</t>
        </is>
      </c>
    </row>
    <row r="33" ht="28" customHeight="1" s="39">
      <c r="A33" s="41" t="inlineStr">
        <is>
          <t>• 2027 IRA limit isn't official yet (~$7,500 each expected); confirm in November before finalizing the IRA split.</t>
        </is>
      </c>
    </row>
  </sheetData>
  <mergeCells count="6">
    <mergeCell ref="A33:C33"/>
    <mergeCell ref="A32:C32"/>
    <mergeCell ref="A31:C31"/>
    <mergeCell ref="A30:C30"/>
    <mergeCell ref="A29:C29"/>
    <mergeCell ref="A2:C2"/>
  </mergeCells>
  <pageMargins left="0.75" right="0.75" top="1" bottom="1" header="0.5" footer="0.5"/>
</worksheet>
</file>

<file path=xl/worksheets/sheet18.xml><?xml version="1.0" encoding="utf-8"?>
<worksheet xmlns="http://schemas.openxmlformats.org/spreadsheetml/2006/main">
  <sheetPr>
    <tabColor rgb="007030A0"/>
    <outlinePr summaryBelow="1" summaryRight="1"/>
    <pageSetUpPr/>
  </sheetPr>
  <dimension ref="A1:C52"/>
  <sheetViews>
    <sheetView workbookViewId="0">
      <selection activeCell="A1" sqref="A1"/>
    </sheetView>
  </sheetViews>
  <sheetFormatPr baseColWidth="8" defaultRowHeight="15"/>
  <cols>
    <col width="34" customWidth="1" style="39" min="1" max="1"/>
    <col width="14" customWidth="1" style="39" min="2" max="2"/>
    <col width="46" customWidth="1" style="39" min="3" max="3"/>
  </cols>
  <sheetData>
    <row r="1">
      <c r="A1" s="42" t="inlineStr">
        <is>
          <t>Monthly Entry — one place to update everything</t>
        </is>
      </c>
    </row>
    <row r="2" ht="44" customHeight="1" s="39">
      <c r="A2" s="43" t="inlineStr">
        <is>
          <t>Pick the month, fill in what you have (blanks are skipped), then run 📊 Family Finances → Post Monthly Entry. Values fan out to Balances, Solar, Amazon Reconciliation and Comp &amp; Benefits. You can also fill this from your phone via the linked Google Form.</t>
        </is>
      </c>
    </row>
    <row r="4">
      <c r="A4" s="63" t="inlineStr">
        <is>
          <t>Month to post</t>
        </is>
      </c>
      <c r="B4" s="49" t="inlineStr">
        <is>
          <t>Sep</t>
        </is>
      </c>
      <c r="C4" s="47" t="inlineStr">
        <is>
          <t>Choose the month these figures belong to.</t>
        </is>
      </c>
    </row>
    <row r="5">
      <c r="A5" t="inlineStr">
        <is>
          <t>Data as of (date)</t>
        </is>
      </c>
      <c r="B5" s="94" t="n"/>
      <c r="C5" s="47" t="inlineStr">
        <is>
          <t>Optional — for your records.</t>
        </is>
      </c>
    </row>
    <row r="6">
      <c r="A6" s="44" t="inlineStr">
        <is>
          <t>① ACCOUNT BALANCES  (month-end)</t>
        </is>
      </c>
      <c r="B6" s="45" t="n"/>
      <c r="C6" s="45" t="n"/>
    </row>
    <row r="7">
      <c r="A7" t="inlineStr">
        <is>
          <t>Capital One Checking</t>
        </is>
      </c>
      <c r="B7" s="50" t="n"/>
      <c r="C7" s="47" t="inlineStr">
        <is>
          <t>→ Balances</t>
        </is>
      </c>
    </row>
    <row r="8">
      <c r="A8" t="inlineStr">
        <is>
          <t>Capital One Savings</t>
        </is>
      </c>
      <c r="B8" s="50" t="n"/>
      <c r="C8" s="47" t="inlineStr"/>
    </row>
    <row r="9">
      <c r="A9" t="inlineStr">
        <is>
          <t>Venmo float</t>
        </is>
      </c>
      <c r="B9" s="50" t="n"/>
      <c r="C9" s="47" t="inlineStr"/>
    </row>
    <row r="10">
      <c r="A10" t="inlineStr">
        <is>
          <t>Fidelity Money Market</t>
        </is>
      </c>
      <c r="B10" s="50" t="n"/>
      <c r="C10" s="47" t="inlineStr"/>
    </row>
    <row r="11">
      <c r="A11" t="inlineStr">
        <is>
          <t>Schwab investment</t>
        </is>
      </c>
      <c r="B11" s="50" t="n"/>
      <c r="C11" s="47" t="inlineStr"/>
    </row>
    <row r="12">
      <c r="A12" t="inlineStr">
        <is>
          <t>529</t>
        </is>
      </c>
      <c r="B12" s="50" t="n"/>
      <c r="C12" s="47" t="inlineStr"/>
    </row>
    <row r="13">
      <c r="A13" t="inlineStr">
        <is>
          <t>FSA Dep Care balance</t>
        </is>
      </c>
      <c r="B13" s="50" t="n"/>
      <c r="C13" s="47" t="inlineStr"/>
    </row>
    <row r="14">
      <c r="A14" t="inlineStr">
        <is>
          <t>FSA Health Care balance</t>
        </is>
      </c>
      <c r="B14" s="50" t="n"/>
      <c r="C14" s="47" t="inlineStr"/>
    </row>
    <row r="15">
      <c r="A15" t="inlineStr">
        <is>
          <t>Matt 401k</t>
        </is>
      </c>
      <c r="B15" s="50" t="n"/>
      <c r="C15" s="47" t="inlineStr"/>
    </row>
    <row r="16">
      <c r="A16" t="inlineStr">
        <is>
          <t>Sue 403b</t>
        </is>
      </c>
      <c r="B16" s="50" t="n"/>
      <c r="C16" s="47" t="inlineStr"/>
    </row>
    <row r="17">
      <c r="A17" t="inlineStr">
        <is>
          <t>Sue pension (est.)</t>
        </is>
      </c>
      <c r="B17" s="50" t="n"/>
      <c r="C17" s="47" t="inlineStr"/>
    </row>
    <row r="18">
      <c r="A18" t="inlineStr">
        <is>
          <t>Other</t>
        </is>
      </c>
      <c r="B18" s="50" t="n"/>
      <c r="C18" s="47" t="inlineStr"/>
    </row>
    <row r="20">
      <c r="A20" s="44" t="inlineStr">
        <is>
          <t>② SOLAR — ENERGY  (Enphase, kWh)</t>
        </is>
      </c>
      <c r="B20" s="45" t="n"/>
      <c r="C20" s="45" t="n"/>
    </row>
    <row r="21">
      <c r="A21" t="inlineStr">
        <is>
          <t>Produced (kWh)</t>
        </is>
      </c>
      <c r="B21" s="91" t="n"/>
      <c r="C21" s="47" t="inlineStr">
        <is>
          <t>→ Solar Reinvestment log</t>
        </is>
      </c>
    </row>
    <row r="22">
      <c r="A22" t="inlineStr">
        <is>
          <t>Consumed (kWh)</t>
        </is>
      </c>
      <c r="B22" s="91" t="n"/>
      <c r="C22" s="47" t="inlineStr"/>
    </row>
    <row r="23">
      <c r="A23" t="inlineStr">
        <is>
          <t>Imported (kWh)</t>
        </is>
      </c>
      <c r="B23" s="91" t="n"/>
      <c r="C23" s="47" t="inlineStr"/>
    </row>
    <row r="24">
      <c r="A24" t="inlineStr">
        <is>
          <t>Exported (kWh)</t>
        </is>
      </c>
      <c r="B24" s="91" t="n"/>
      <c r="C24" s="47" t="inlineStr"/>
    </row>
    <row r="25">
      <c r="A25" s="44" t="inlineStr">
        <is>
          <t>③ SOLAR — ELECTRIC BILL</t>
        </is>
      </c>
      <c r="B25" s="45" t="n"/>
      <c r="C25" s="45" t="n"/>
    </row>
    <row r="26">
      <c r="A26" t="inlineStr">
        <is>
          <t>Baseline electric (would-have-paid)</t>
        </is>
      </c>
      <c r="B26" s="50" t="n"/>
      <c r="C26" s="47" t="inlineStr">
        <is>
          <t>→ Solar ROI row 9</t>
        </is>
      </c>
    </row>
    <row r="27">
      <c r="A27" t="inlineStr">
        <is>
          <t>Actual electric bill</t>
        </is>
      </c>
      <c r="B27" s="50" t="n"/>
      <c r="C27" s="47" t="inlineStr">
        <is>
          <t>→ Solar ROI row 10</t>
        </is>
      </c>
    </row>
    <row r="29">
      <c r="A29" s="44" t="inlineStr">
        <is>
          <t>④ AMAZON — split this month's total into buckets</t>
        </is>
      </c>
      <c r="B29" s="45" t="n"/>
      <c r="C29" s="45" t="n"/>
    </row>
    <row r="30">
      <c r="A30" t="inlineStr">
        <is>
          <t>Amazon total to split (auto)</t>
        </is>
      </c>
      <c r="B30" s="73">
        <f>IFERROR(INDEX('CC Detail'!B14:M14,MATCH($B$4,{"Jan","Feb","Mar","Apr","May","Jun","Jul","Aug","Sep","Oct","Nov","Dec"},0)),"")</f>
        <v/>
      </c>
      <c r="C30" s="47" t="inlineStr">
        <is>
          <t>Pulled from CC Detail for the chosen month — split it below.</t>
        </is>
      </c>
    </row>
    <row r="31">
      <c r="A31" t="inlineStr">
        <is>
          <t>Groceries</t>
        </is>
      </c>
      <c r="B31" s="50" t="n"/>
      <c r="C31" s="47" t="inlineStr">
        <is>
          <t>→ Amazon Reconciliation</t>
        </is>
      </c>
    </row>
    <row r="32">
      <c r="A32" t="inlineStr">
        <is>
          <t>Kids / Activities</t>
        </is>
      </c>
      <c r="B32" s="50" t="n"/>
      <c r="C32" s="47" t="inlineStr"/>
    </row>
    <row r="33">
      <c r="A33" t="inlineStr">
        <is>
          <t>Personal Care</t>
        </is>
      </c>
      <c r="B33" s="50" t="n"/>
      <c r="C33" s="47" t="inlineStr"/>
    </row>
    <row r="34">
      <c r="A34" t="inlineStr">
        <is>
          <t>Pharmacy / Health</t>
        </is>
      </c>
      <c r="B34" s="50" t="n"/>
      <c r="C34" s="47" t="inlineStr"/>
    </row>
    <row r="35">
      <c r="A35" t="inlineStr">
        <is>
          <t>Home / Hardware</t>
        </is>
      </c>
      <c r="B35" s="50" t="n"/>
      <c r="C35" s="47" t="inlineStr"/>
    </row>
    <row r="36">
      <c r="A36" t="inlineStr">
        <is>
          <t>Subscriptions</t>
        </is>
      </c>
      <c r="B36" s="50" t="n"/>
      <c r="C36" s="47" t="inlineStr"/>
    </row>
    <row r="37">
      <c r="A37" t="inlineStr">
        <is>
          <t>Other / gifts</t>
        </is>
      </c>
      <c r="B37" s="50" t="n"/>
      <c r="C37" s="47" t="inlineStr"/>
    </row>
    <row r="38">
      <c r="A38" t="inlineStr">
        <is>
          <t>Split check (should match total)</t>
        </is>
      </c>
      <c r="B38" s="73">
        <f>SUM(B31:B37)</f>
        <v/>
      </c>
      <c r="C38" s="47" t="inlineStr">
        <is>
          <t>Compare to Amazon total above.</t>
        </is>
      </c>
    </row>
    <row r="40">
      <c r="A40" s="44" t="inlineStr">
        <is>
          <t>⑤ COMP &amp; BENEFITS  (YTD, from paystub)</t>
        </is>
      </c>
      <c r="B40" s="45" t="n"/>
      <c r="C40" s="45" t="n"/>
    </row>
    <row r="41">
      <c r="A41" t="inlineStr">
        <is>
          <t>Matt gross earnings YTD</t>
        </is>
      </c>
      <c r="B41" s="50" t="n"/>
      <c r="C41" s="47" t="inlineStr">
        <is>
          <t>→ Comp &amp; Benefits</t>
        </is>
      </c>
    </row>
    <row r="42">
      <c r="A42" t="inlineStr">
        <is>
          <t>Matt 401k contribution YTD</t>
        </is>
      </c>
      <c r="B42" s="50" t="n"/>
      <c r="C42" s="47" t="inlineStr"/>
    </row>
    <row r="43">
      <c r="A43" t="inlineStr">
        <is>
          <t>Matt 401k match YTD</t>
        </is>
      </c>
      <c r="B43" s="50" t="n"/>
      <c r="C43" s="47" t="inlineStr"/>
    </row>
    <row r="44">
      <c r="A44" t="inlineStr">
        <is>
          <t>FSA Dep Care YTD</t>
        </is>
      </c>
      <c r="B44" s="50" t="n"/>
      <c r="C44" s="47" t="inlineStr"/>
    </row>
    <row r="45">
      <c r="A45" t="inlineStr">
        <is>
          <t>FSA Health Care YTD</t>
        </is>
      </c>
      <c r="B45" s="50" t="n"/>
      <c r="C45" s="47" t="inlineStr"/>
    </row>
    <row r="46">
      <c r="A46" t="inlineStr">
        <is>
          <t>Tuition reimbursement YTD</t>
        </is>
      </c>
      <c r="B46" s="50" t="n"/>
      <c r="C46" s="47" t="inlineStr"/>
    </row>
    <row r="47">
      <c r="A47" t="inlineStr">
        <is>
          <t>Stakeholder earnings YTD</t>
        </is>
      </c>
      <c r="B47" s="50" t="n"/>
      <c r="C47" s="47" t="inlineStr"/>
    </row>
    <row r="48">
      <c r="A48" t="inlineStr">
        <is>
          <t>Sue 403b YTD</t>
        </is>
      </c>
      <c r="B48" s="50" t="n"/>
      <c r="C48" s="47" t="inlineStr"/>
    </row>
    <row r="49">
      <c r="A49" t="inlineStr">
        <is>
          <t>529 contributions YTD</t>
        </is>
      </c>
      <c r="B49" s="50" t="n"/>
      <c r="C49" s="47" t="inlineStr"/>
    </row>
    <row r="51">
      <c r="A51" s="41" t="inlineStr">
        <is>
          <t>After posting, blank the input cells for next month (or use the Form). The script only writes fields you filled, into the month you chose above.</t>
        </is>
      </c>
    </row>
    <row r="52"/>
  </sheetData>
  <mergeCells count="2">
    <mergeCell ref="A51:C52"/>
    <mergeCell ref="A2:C2"/>
  </mergeCells>
  <dataValidations count="1">
    <dataValidation sqref="B4" showDropDown="0" showInputMessage="0" showErrorMessage="0" allowBlank="0" type="list">
      <formula1>"Jan,Feb,Mar,Apr,May,Jun,Jul,Aug,Sep,Oct,Nov,Dec"</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2026-09-19T06:48:27Z</dcterms:created>
  <dcterms:modified xsi:type="dcterms:W3CDTF">2026-09-19T06:48:27Z</dcterms:modified>
</cp:coreProperties>
</file>