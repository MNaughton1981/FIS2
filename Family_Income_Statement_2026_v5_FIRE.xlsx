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 name="Monthly Entry" sheetId="18" state="visible" r:id="rId18"/>
    <sheet name="Spending Guardrail" sheetId="19" state="visible" r:id="rId19"/>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xf numFmtId="0" fontId="0" fillId="10" borderId="0" pivotButton="0" quotePrefix="0" xfId="0"/>
    <xf numFmtId="168" fontId="16" fillId="11" borderId="0" pivotButton="0" quotePrefix="0" xfId="0"/>
    <xf numFmtId="0" fontId="0" fillId="12" borderId="3" pivotButton="0" quotePrefix="0" xfId="0"/>
    <xf numFmtId="2" fontId="0" fillId="11" borderId="0" pivotButton="0" quotePrefix="0" xfId="0"/>
  </cellXfs>
  <cellStyles count="1">
    <cellStyle name="Normal" xfId="0" builtinId="0"/>
  </cellStyles>
  <dxfs count="4">
    <dxf>
      <font>
        <b val="1"/>
        <color rgb="FF2E7D32"/>
      </font>
      <fill>
        <patternFill/>
      </fill>
      <border/>
    </dxf>
    <dxf>
      <font>
        <b val="1"/>
        <color rgb="FFC00000"/>
      </font>
      <fill>
        <patternFill/>
      </fill>
      <border/>
    </dxf>
    <dxf>
      <font>
        <color rgb="009C0006"/>
      </font>
      <fill>
        <patternFill patternType="solid">
          <fgColor rgb="00FFC7CE"/>
        </patternFill>
      </fill>
    </dxf>
    <dxf>
      <font>
        <color rgb="00006100"/>
      </font>
      <fill>
        <patternFill patternType="solid">
          <f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0" t="n"/>
      <c r="H9" s="40" t="n"/>
      <c r="I9" s="40" t="n"/>
      <c r="J9" s="40" t="n"/>
      <c r="K9" s="40" t="n"/>
      <c r="L9" s="40" t="n"/>
      <c r="M9" s="40" t="n"/>
      <c r="N9" s="15">
        <f>SUM(B9:M9)</f>
        <v/>
      </c>
    </row>
    <row r="10">
      <c r="A10" s="10" t="inlineStr">
        <is>
          <t>Actual electric bill</t>
        </is>
      </c>
      <c r="B10" s="8" t="n"/>
      <c r="C10" s="8" t="n"/>
      <c r="D10" s="8" t="n"/>
      <c r="E10" s="8" t="n"/>
      <c r="F10" s="8" t="n">
        <v>87</v>
      </c>
      <c r="G10" s="8" t="n"/>
      <c r="H10" s="8" t="n"/>
      <c r="I10" s="8" t="n"/>
      <c r="J10" s="8" t="n"/>
      <c r="K10" s="8" t="n"/>
      <c r="L10" s="8" t="n"/>
      <c r="M10" s="8"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1" t="inlineStr">
        <is>
          <t>⚠ To make payback compute: (1) enter pre-solar baseline monthly bills in row 9 (orange). (2) Enter incentives in row 6 — NOTE: the 30% federal solar credit (25D) ended for systems placed in service after 12/31/2025 (OBBB, 7/4/2025); if yours went live in 2026 the federal credit is $0. MA still gives a 15% state credit up to $1,000. Full reinvestment model on the 'Solar Reinvestment' tab →</t>
        </is>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2" t="inlineStr">
        <is>
          <t>Sue — MTRS Pension Calculator (Massachusetts Teachers' Retirement System)</t>
        </is>
      </c>
    </row>
    <row r="2" ht="42" customHeight="1" s="39">
      <c r="A2" s="43" t="inlineStr">
        <is>
          <t>Membership Tier 1 confirmed — both 2003 and 2010 predate the 4/2/2012 Tier 2 cutoff. YELLOW = confirm in MyTRS  •  ORANGE = scenario inputs  •  Not affiliated with MTRS; verify against the official MTRS estimator before relying on any figure.</t>
        </is>
      </c>
    </row>
    <row r="4">
      <c r="A4" s="44" t="inlineStr">
        <is>
          <t>① CONFIRM IN MyTRS  (mtrs.state.ma.us)</t>
        </is>
      </c>
      <c r="B4" s="45" t="n"/>
      <c r="C4" s="45" t="n"/>
    </row>
    <row r="5">
      <c r="A5" t="inlineStr">
        <is>
          <t>Effective membership date (year)</t>
        </is>
      </c>
      <c r="B5" s="46" t="n">
        <v>2010</v>
      </c>
      <c r="C5" s="47" t="inlineStr">
        <is>
          <t>Confirmed 2010 (refund taken on 2003–07 service, rejoined 2010). Post-2001 join → Tier 1, mandatory R+.</t>
        </is>
      </c>
    </row>
    <row r="6">
      <c r="A6" t="inlineStr">
        <is>
          <t>Current creditable service (yrs, today)</t>
        </is>
      </c>
      <c r="B6" s="48" t="n">
        <v>16</v>
      </c>
      <c r="C6" s="47" t="inlineStr">
        <is>
          <t>~16 years (2010 → 2026, continuous). Confirm the exact figure in MyTRS.</t>
        </is>
      </c>
    </row>
    <row r="7">
      <c r="A7" t="inlineStr">
        <is>
          <t>RetirementPlus participant? (Y/N)</t>
        </is>
      </c>
      <c r="B7" s="46" t="inlineStr">
        <is>
          <t>Y</t>
        </is>
      </c>
      <c r="C7" s="47" t="inlineStr">
        <is>
          <t>Auto-YES: joined post-7/1/2001 → mandatory R+ at 11%. A flat 11% on her paystub confirms it.</t>
        </is>
      </c>
    </row>
    <row r="8">
      <c r="A8" t="inlineStr">
        <is>
          <t>Years as MTRS teacher (R+ 20-yr test)</t>
        </is>
      </c>
      <c r="B8" s="48" t="n">
        <v>16</v>
      </c>
      <c r="C8" s="47" t="inlineStr">
        <is>
          <t>Almost all her creditable service is teacher service; used only for the R+ 20-year test.</t>
        </is>
      </c>
    </row>
    <row r="10">
      <c r="A10" s="44" t="inlineStr">
        <is>
          <t>② SCENARIO INPUTS</t>
        </is>
      </c>
      <c r="B10" s="45" t="n"/>
      <c r="C10" s="45" t="n"/>
    </row>
    <row r="11">
      <c r="A11" t="inlineStr">
        <is>
          <t>Sue's current age</t>
        </is>
      </c>
      <c r="B11" s="49" t="n">
        <v>45</v>
      </c>
    </row>
    <row r="12">
      <c r="A12" t="inlineStr">
        <is>
          <t>Current calendar year</t>
        </is>
      </c>
      <c r="B12" s="49" t="n">
        <v>2026</v>
      </c>
    </row>
    <row r="13">
      <c r="A13" t="inlineStr">
        <is>
          <t>Current annual salary ($)</t>
        </is>
      </c>
      <c r="B13" s="50" t="n">
        <v>85000</v>
      </c>
      <c r="C13" s="47" t="inlineStr">
        <is>
          <t>Enter Sue's actual salary.</t>
        </is>
      </c>
    </row>
    <row r="14">
      <c r="A14" t="inlineStr">
        <is>
          <t>Expected annual raise (%)</t>
        </is>
      </c>
      <c r="B14" s="51" t="n">
        <v>0.02</v>
      </c>
    </row>
    <row r="15">
      <c r="A15" t="inlineStr">
        <is>
          <t>Planned retirement age (scenario)</t>
        </is>
      </c>
      <c r="B15" s="49" t="n">
        <v>60</v>
      </c>
    </row>
    <row r="16">
      <c r="A16" t="inlineStr">
        <is>
          <t>Buy-back: early years to restore</t>
        </is>
      </c>
      <c r="B16" s="52" t="n">
        <v>0</v>
      </c>
      <c r="C16" s="47" t="inlineStr">
        <is>
          <t>If she refunded 2003–07, she can repay to restore ~4–5 yrs. Try 4 to see the effect.</t>
        </is>
      </c>
    </row>
    <row r="18">
      <c r="A18" s="44" t="inlineStr">
        <is>
          <t>③ TIER 1 RULES  (reference — do not edit)</t>
        </is>
      </c>
      <c r="B18" s="45" t="n"/>
      <c r="C18" s="45" t="n"/>
      <c r="E18" s="53" t="inlineStr">
        <is>
          <t>Age</t>
        </is>
      </c>
      <c r="F18" s="53" t="inlineStr">
        <is>
          <t>Factor</t>
        </is>
      </c>
    </row>
    <row r="19">
      <c r="A19" t="inlineStr">
        <is>
          <t>Membership tier</t>
        </is>
      </c>
      <c r="B19" s="54" t="inlineStr">
        <is>
          <t>Tier 1</t>
        </is>
      </c>
      <c r="E19" s="55" t="n">
        <v>55</v>
      </c>
      <c r="F19" s="56" t="n">
        <v>0.015</v>
      </c>
    </row>
    <row r="20">
      <c r="A20" t="inlineStr">
        <is>
          <t>Salary average period</t>
        </is>
      </c>
      <c r="B20" s="54" t="inlineStr">
        <is>
          <t>Highest 3 yrs</t>
        </is>
      </c>
      <c r="E20" s="55" t="n">
        <v>56</v>
      </c>
      <c r="F20" s="56" t="n">
        <v>0.016</v>
      </c>
    </row>
    <row r="21">
      <c r="A21" t="inlineStr">
        <is>
          <t>Maximum benefit cap</t>
        </is>
      </c>
      <c r="B21" s="57" t="n">
        <v>0.8</v>
      </c>
      <c r="E21" s="55" t="n">
        <v>57</v>
      </c>
      <c r="F21" s="56" t="n">
        <v>0.017</v>
      </c>
    </row>
    <row r="22">
      <c r="A22" t="inlineStr">
        <is>
          <t>R+ enhancement</t>
        </is>
      </c>
      <c r="B22" s="54" t="inlineStr">
        <is>
          <t>+2%/yr over 24 yrs</t>
        </is>
      </c>
      <c r="C22" s="47" t="inlineStr">
        <is>
          <t>Requires ≥30 yrs creditable, ≥20 as teacher, 11% for 5+ yrs.</t>
        </is>
      </c>
      <c r="E22" s="55" t="n">
        <v>58</v>
      </c>
      <c r="F22" s="56" t="n">
        <v>0.018</v>
      </c>
    </row>
    <row r="23">
      <c r="A23" t="inlineStr">
        <is>
          <t>Min retirement age (Tier 1)</t>
        </is>
      </c>
      <c r="B23" s="54" t="n">
        <v>55</v>
      </c>
      <c r="E23" s="55" t="n">
        <v>59</v>
      </c>
      <c r="F23" s="56" t="n">
        <v>0.019</v>
      </c>
    </row>
    <row r="24">
      <c r="E24" s="55" t="n">
        <v>60</v>
      </c>
      <c r="F24" s="56" t="n">
        <v>0.02</v>
      </c>
    </row>
    <row r="25">
      <c r="A25" s="44" t="inlineStr">
        <is>
          <t>④ RESULT AT PLANNED RETIREMENT AGE</t>
        </is>
      </c>
      <c r="B25" s="45" t="n"/>
      <c r="C25" s="45" t="n"/>
      <c r="E25" s="55" t="n">
        <v>61</v>
      </c>
      <c r="F25" s="56" t="n">
        <v>0.021</v>
      </c>
    </row>
    <row r="26">
      <c r="A26" t="inlineStr">
        <is>
          <t>Creditable service at retirement</t>
        </is>
      </c>
      <c r="B26" s="58">
        <f>B6+(B15-B11)+B16</f>
        <v/>
      </c>
      <c r="E26" s="55" t="n">
        <v>62</v>
      </c>
      <c r="F26" s="56" t="n">
        <v>0.022</v>
      </c>
    </row>
    <row r="27">
      <c r="A27" t="inlineStr">
        <is>
          <t>Age factor at retirement</t>
        </is>
      </c>
      <c r="B27" s="59">
        <f>IF(B15&lt;55,0,IF(B15&gt;=65,0.025,0.015+(B15-55)*0.001))</f>
        <v/>
      </c>
      <c r="E27" s="55" t="n">
        <v>63</v>
      </c>
      <c r="F27" s="56" t="n">
        <v>0.023</v>
      </c>
    </row>
    <row r="28">
      <c r="A28" t="inlineStr">
        <is>
          <t>Salary average (3-yr, est.) $</t>
        </is>
      </c>
      <c r="B28" s="60">
        <f>B13*((1+B14)^(B15-B11)+(1+B14)^(B15-B11-1)+(1+B14)^(B15-B11-2))/3</f>
        <v/>
      </c>
      <c r="E28" s="55" t="n">
        <v>64</v>
      </c>
      <c r="F28" s="56" t="n">
        <v>0.024</v>
      </c>
    </row>
    <row r="29">
      <c r="A29" t="inlineStr">
        <is>
          <t>Regular formula benefit %</t>
        </is>
      </c>
      <c r="B29" s="59">
        <f>MIN($B$21,B27*B26)</f>
        <v/>
      </c>
      <c r="E29" s="55" t="n">
        <v>65</v>
      </c>
      <c r="F29" s="56" t="n">
        <v>0.025</v>
      </c>
    </row>
    <row r="30">
      <c r="A30" t="inlineStr">
        <is>
          <t>R+ eligible?</t>
        </is>
      </c>
      <c r="B30" s="61">
        <f>IF(AND($B$7="Y",B26&gt;=30,B8+(B15-B11)&gt;=20),"Yes","No")</f>
        <v/>
      </c>
    </row>
    <row r="31">
      <c r="A31" t="inlineStr">
        <is>
          <t>R+ formula benefit %</t>
        </is>
      </c>
      <c r="B31" s="59">
        <f>MIN($B$21,B27*B26+0.02*MAX(0,B26-24))</f>
        <v/>
      </c>
    </row>
    <row r="32">
      <c r="A32" t="inlineStr">
        <is>
          <t>Applied benefit %</t>
        </is>
      </c>
      <c r="B32" s="62">
        <f>IF(B30="Yes",B31,B29)</f>
        <v/>
      </c>
    </row>
    <row r="33">
      <c r="A33" s="63" t="inlineStr">
        <is>
          <t>ANNUAL PENSION ($)</t>
        </is>
      </c>
      <c r="B33" s="64">
        <f>B32*B28</f>
        <v/>
      </c>
    </row>
    <row r="34">
      <c r="A34" t="inlineStr">
        <is>
          <t>Monthly pension ($)</t>
        </is>
      </c>
      <c r="B34" s="60">
        <f>B33/12</f>
        <v/>
      </c>
    </row>
    <row r="36">
      <c r="A36" s="44" t="inlineStr">
        <is>
          <t>⑤ PROJECTION BY RETIREMENT AGE  (finds the earliest 80% cap)</t>
        </is>
      </c>
      <c r="B36" s="45" t="n"/>
      <c r="C36" s="45" t="n"/>
      <c r="D36" s="45" t="n"/>
      <c r="E36" s="45" t="n"/>
      <c r="F36" s="45" t="n"/>
      <c r="G36" s="45" t="n"/>
      <c r="H36" s="45" t="n"/>
      <c r="I36" s="45" t="n"/>
      <c r="J36" s="45" t="n"/>
    </row>
    <row r="37" ht="30" customHeight="1" s="39">
      <c r="A37" s="65" t="inlineStr">
        <is>
          <t>Retire age</t>
        </is>
      </c>
      <c r="B37" s="65" t="inlineStr">
        <is>
          <t>Year</t>
        </is>
      </c>
      <c r="C37" s="65" t="inlineStr">
        <is>
          <t>Cred. svc</t>
        </is>
      </c>
      <c r="D37" s="65" t="inlineStr">
        <is>
          <t>Age factor</t>
        </is>
      </c>
      <c r="E37" s="65" t="inlineStr">
        <is>
          <t>Regular %</t>
        </is>
      </c>
      <c r="F37" s="65" t="inlineStr">
        <is>
          <t>R+ elig?</t>
        </is>
      </c>
      <c r="G37" s="65" t="inlineStr">
        <is>
          <t>R+ %</t>
        </is>
      </c>
      <c r="H37" s="65" t="inlineStr">
        <is>
          <t>Applied %</t>
        </is>
      </c>
      <c r="I37" s="65" t="inlineStr">
        <is>
          <t>Annual pension $</t>
        </is>
      </c>
      <c r="J37" s="65" t="inlineStr">
        <is>
          <t>80% cap?</t>
        </is>
      </c>
    </row>
    <row r="38">
      <c r="A38" s="55" t="n">
        <v>55</v>
      </c>
      <c r="B38" s="55">
        <f>$B$12+(A38-$B$11)</f>
        <v/>
      </c>
      <c r="C38" s="66">
        <f>$B$6+(A38-$B$11)+$B$16</f>
        <v/>
      </c>
      <c r="D38" s="56">
        <f>IF(A38&lt;55,0,IF(A38&gt;=65,0.025,0.015+(A38-55)*0.001))</f>
        <v/>
      </c>
      <c r="E38" s="56">
        <f>MIN($B$21,D38*C38)</f>
        <v/>
      </c>
      <c r="F38" s="55">
        <f>IF(AND($B$7="Y",C38&gt;=30,$B$8+(A38-$B$11)&gt;=20),"Y","N")</f>
        <v/>
      </c>
      <c r="G38" s="56">
        <f>MIN($B$21,D38*C38+0.02*MAX(0,C38-24))</f>
        <v/>
      </c>
      <c r="H38" s="67">
        <f>IF(F38="Y",G38,E38)</f>
        <v/>
      </c>
      <c r="I38" s="68">
        <f>H38*($B$13*((1+$B$14)^(A38-$B$11)+(1+$B$14)^(A38-$B$11-1)+(1+$B$14)^(A38-$B$11-2))/3)</f>
        <v/>
      </c>
      <c r="J38" s="55">
        <f>IF(H38&gt;=$B$21,"◄ 80% CAP","")</f>
        <v/>
      </c>
    </row>
    <row r="39">
      <c r="A39" s="55" t="n">
        <v>56</v>
      </c>
      <c r="B39" s="55">
        <f>$B$12+(A39-$B$11)</f>
        <v/>
      </c>
      <c r="C39" s="66">
        <f>$B$6+(A39-$B$11)+$B$16</f>
        <v/>
      </c>
      <c r="D39" s="56">
        <f>IF(A39&lt;55,0,IF(A39&gt;=65,0.025,0.015+(A39-55)*0.001))</f>
        <v/>
      </c>
      <c r="E39" s="56">
        <f>MIN($B$21,D39*C39)</f>
        <v/>
      </c>
      <c r="F39" s="55">
        <f>IF(AND($B$7="Y",C39&gt;=30,$B$8+(A39-$B$11)&gt;=20),"Y","N")</f>
        <v/>
      </c>
      <c r="G39" s="56">
        <f>MIN($B$21,D39*C39+0.02*MAX(0,C39-24))</f>
        <v/>
      </c>
      <c r="H39" s="67">
        <f>IF(F39="Y",G39,E39)</f>
        <v/>
      </c>
      <c r="I39" s="68">
        <f>H39*($B$13*((1+$B$14)^(A39-$B$11)+(1+$B$14)^(A39-$B$11-1)+(1+$B$14)^(A39-$B$11-2))/3)</f>
        <v/>
      </c>
      <c r="J39" s="55">
        <f>IF(H39&gt;=$B$21,"◄ 80% CAP","")</f>
        <v/>
      </c>
    </row>
    <row r="40">
      <c r="A40" s="55" t="n">
        <v>57</v>
      </c>
      <c r="B40" s="55">
        <f>$B$12+(A40-$B$11)</f>
        <v/>
      </c>
      <c r="C40" s="66">
        <f>$B$6+(A40-$B$11)+$B$16</f>
        <v/>
      </c>
      <c r="D40" s="56">
        <f>IF(A40&lt;55,0,IF(A40&gt;=65,0.025,0.015+(A40-55)*0.001))</f>
        <v/>
      </c>
      <c r="E40" s="56">
        <f>MIN($B$21,D40*C40)</f>
        <v/>
      </c>
      <c r="F40" s="55">
        <f>IF(AND($B$7="Y",C40&gt;=30,$B$8+(A40-$B$11)&gt;=20),"Y","N")</f>
        <v/>
      </c>
      <c r="G40" s="56">
        <f>MIN($B$21,D40*C40+0.02*MAX(0,C40-24))</f>
        <v/>
      </c>
      <c r="H40" s="67">
        <f>IF(F40="Y",G40,E40)</f>
        <v/>
      </c>
      <c r="I40" s="68">
        <f>H40*($B$13*((1+$B$14)^(A40-$B$11)+(1+$B$14)^(A40-$B$11-1)+(1+$B$14)^(A40-$B$11-2))/3)</f>
        <v/>
      </c>
      <c r="J40" s="55">
        <f>IF(H40&gt;=$B$21,"◄ 80% CAP","")</f>
        <v/>
      </c>
    </row>
    <row r="41">
      <c r="A41" s="55" t="n">
        <v>58</v>
      </c>
      <c r="B41" s="55">
        <f>$B$12+(A41-$B$11)</f>
        <v/>
      </c>
      <c r="C41" s="66">
        <f>$B$6+(A41-$B$11)+$B$16</f>
        <v/>
      </c>
      <c r="D41" s="56">
        <f>IF(A41&lt;55,0,IF(A41&gt;=65,0.025,0.015+(A41-55)*0.001))</f>
        <v/>
      </c>
      <c r="E41" s="56">
        <f>MIN($B$21,D41*C41)</f>
        <v/>
      </c>
      <c r="F41" s="55">
        <f>IF(AND($B$7="Y",C41&gt;=30,$B$8+(A41-$B$11)&gt;=20),"Y","N")</f>
        <v/>
      </c>
      <c r="G41" s="56">
        <f>MIN($B$21,D41*C41+0.02*MAX(0,C41-24))</f>
        <v/>
      </c>
      <c r="H41" s="67">
        <f>IF(F41="Y",G41,E41)</f>
        <v/>
      </c>
      <c r="I41" s="68">
        <f>H41*($B$13*((1+$B$14)^(A41-$B$11)+(1+$B$14)^(A41-$B$11-1)+(1+$B$14)^(A41-$B$11-2))/3)</f>
        <v/>
      </c>
      <c r="J41" s="55">
        <f>IF(H41&gt;=$B$21,"◄ 80% CAP","")</f>
        <v/>
      </c>
    </row>
    <row r="42">
      <c r="A42" s="55" t="n">
        <v>59</v>
      </c>
      <c r="B42" s="55">
        <f>$B$12+(A42-$B$11)</f>
        <v/>
      </c>
      <c r="C42" s="66">
        <f>$B$6+(A42-$B$11)+$B$16</f>
        <v/>
      </c>
      <c r="D42" s="56">
        <f>IF(A42&lt;55,0,IF(A42&gt;=65,0.025,0.015+(A42-55)*0.001))</f>
        <v/>
      </c>
      <c r="E42" s="56">
        <f>MIN($B$21,D42*C42)</f>
        <v/>
      </c>
      <c r="F42" s="55">
        <f>IF(AND($B$7="Y",C42&gt;=30,$B$8+(A42-$B$11)&gt;=20),"Y","N")</f>
        <v/>
      </c>
      <c r="G42" s="56">
        <f>MIN($B$21,D42*C42+0.02*MAX(0,C42-24))</f>
        <v/>
      </c>
      <c r="H42" s="67">
        <f>IF(F42="Y",G42,E42)</f>
        <v/>
      </c>
      <c r="I42" s="68">
        <f>H42*($B$13*((1+$B$14)^(A42-$B$11)+(1+$B$14)^(A42-$B$11-1)+(1+$B$14)^(A42-$B$11-2))/3)</f>
        <v/>
      </c>
      <c r="J42" s="55">
        <f>IF(H42&gt;=$B$21,"◄ 80% CAP","")</f>
        <v/>
      </c>
    </row>
    <row r="43">
      <c r="A43" s="55" t="n">
        <v>60</v>
      </c>
      <c r="B43" s="55">
        <f>$B$12+(A43-$B$11)</f>
        <v/>
      </c>
      <c r="C43" s="66">
        <f>$B$6+(A43-$B$11)+$B$16</f>
        <v/>
      </c>
      <c r="D43" s="56">
        <f>IF(A43&lt;55,0,IF(A43&gt;=65,0.025,0.015+(A43-55)*0.001))</f>
        <v/>
      </c>
      <c r="E43" s="56">
        <f>MIN($B$21,D43*C43)</f>
        <v/>
      </c>
      <c r="F43" s="55">
        <f>IF(AND($B$7="Y",C43&gt;=30,$B$8+(A43-$B$11)&gt;=20),"Y","N")</f>
        <v/>
      </c>
      <c r="G43" s="56">
        <f>MIN($B$21,D43*C43+0.02*MAX(0,C43-24))</f>
        <v/>
      </c>
      <c r="H43" s="67">
        <f>IF(F43="Y",G43,E43)</f>
        <v/>
      </c>
      <c r="I43" s="68">
        <f>H43*($B$13*((1+$B$14)^(A43-$B$11)+(1+$B$14)^(A43-$B$11-1)+(1+$B$14)^(A43-$B$11-2))/3)</f>
        <v/>
      </c>
      <c r="J43" s="55">
        <f>IF(H43&gt;=$B$21,"◄ 80% CAP","")</f>
        <v/>
      </c>
    </row>
    <row r="44">
      <c r="A44" s="55" t="n">
        <v>61</v>
      </c>
      <c r="B44" s="55">
        <f>$B$12+(A44-$B$11)</f>
        <v/>
      </c>
      <c r="C44" s="66">
        <f>$B$6+(A44-$B$11)+$B$16</f>
        <v/>
      </c>
      <c r="D44" s="56">
        <f>IF(A44&lt;55,0,IF(A44&gt;=65,0.025,0.015+(A44-55)*0.001))</f>
        <v/>
      </c>
      <c r="E44" s="56">
        <f>MIN($B$21,D44*C44)</f>
        <v/>
      </c>
      <c r="F44" s="55">
        <f>IF(AND($B$7="Y",C44&gt;=30,$B$8+(A44-$B$11)&gt;=20),"Y","N")</f>
        <v/>
      </c>
      <c r="G44" s="56">
        <f>MIN($B$21,D44*C44+0.02*MAX(0,C44-24))</f>
        <v/>
      </c>
      <c r="H44" s="67">
        <f>IF(F44="Y",G44,E44)</f>
        <v/>
      </c>
      <c r="I44" s="68">
        <f>H44*($B$13*((1+$B$14)^(A44-$B$11)+(1+$B$14)^(A44-$B$11-1)+(1+$B$14)^(A44-$B$11-2))/3)</f>
        <v/>
      </c>
      <c r="J44" s="55">
        <f>IF(H44&gt;=$B$21,"◄ 80% CAP","")</f>
        <v/>
      </c>
    </row>
    <row r="45">
      <c r="A45" s="55" t="n">
        <v>62</v>
      </c>
      <c r="B45" s="55">
        <f>$B$12+(A45-$B$11)</f>
        <v/>
      </c>
      <c r="C45" s="66">
        <f>$B$6+(A45-$B$11)+$B$16</f>
        <v/>
      </c>
      <c r="D45" s="56">
        <f>IF(A45&lt;55,0,IF(A45&gt;=65,0.025,0.015+(A45-55)*0.001))</f>
        <v/>
      </c>
      <c r="E45" s="56">
        <f>MIN($B$21,D45*C45)</f>
        <v/>
      </c>
      <c r="F45" s="55">
        <f>IF(AND($B$7="Y",C45&gt;=30,$B$8+(A45-$B$11)&gt;=20),"Y","N")</f>
        <v/>
      </c>
      <c r="G45" s="56">
        <f>MIN($B$21,D45*C45+0.02*MAX(0,C45-24))</f>
        <v/>
      </c>
      <c r="H45" s="67">
        <f>IF(F45="Y",G45,E45)</f>
        <v/>
      </c>
      <c r="I45" s="68">
        <f>H45*($B$13*((1+$B$14)^(A45-$B$11)+(1+$B$14)^(A45-$B$11-1)+(1+$B$14)^(A45-$B$11-2))/3)</f>
        <v/>
      </c>
      <c r="J45" s="55">
        <f>IF(H45&gt;=$B$21,"◄ 80% CAP","")</f>
        <v/>
      </c>
    </row>
    <row r="46">
      <c r="A46" s="55" t="n">
        <v>63</v>
      </c>
      <c r="B46" s="55">
        <f>$B$12+(A46-$B$11)</f>
        <v/>
      </c>
      <c r="C46" s="66">
        <f>$B$6+(A46-$B$11)+$B$16</f>
        <v/>
      </c>
      <c r="D46" s="56">
        <f>IF(A46&lt;55,0,IF(A46&gt;=65,0.025,0.015+(A46-55)*0.001))</f>
        <v/>
      </c>
      <c r="E46" s="56">
        <f>MIN($B$21,D46*C46)</f>
        <v/>
      </c>
      <c r="F46" s="55">
        <f>IF(AND($B$7="Y",C46&gt;=30,$B$8+(A46-$B$11)&gt;=20),"Y","N")</f>
        <v/>
      </c>
      <c r="G46" s="56">
        <f>MIN($B$21,D46*C46+0.02*MAX(0,C46-24))</f>
        <v/>
      </c>
      <c r="H46" s="67">
        <f>IF(F46="Y",G46,E46)</f>
        <v/>
      </c>
      <c r="I46" s="68">
        <f>H46*($B$13*((1+$B$14)^(A46-$B$11)+(1+$B$14)^(A46-$B$11-1)+(1+$B$14)^(A46-$B$11-2))/3)</f>
        <v/>
      </c>
      <c r="J46" s="55">
        <f>IF(H46&gt;=$B$21,"◄ 80% CAP","")</f>
        <v/>
      </c>
    </row>
    <row r="47">
      <c r="A47" s="55" t="n">
        <v>64</v>
      </c>
      <c r="B47" s="55">
        <f>$B$12+(A47-$B$11)</f>
        <v/>
      </c>
      <c r="C47" s="66">
        <f>$B$6+(A47-$B$11)+$B$16</f>
        <v/>
      </c>
      <c r="D47" s="56">
        <f>IF(A47&lt;55,0,IF(A47&gt;=65,0.025,0.015+(A47-55)*0.001))</f>
        <v/>
      </c>
      <c r="E47" s="56">
        <f>MIN($B$21,D47*C47)</f>
        <v/>
      </c>
      <c r="F47" s="55">
        <f>IF(AND($B$7="Y",C47&gt;=30,$B$8+(A47-$B$11)&gt;=20),"Y","N")</f>
        <v/>
      </c>
      <c r="G47" s="56">
        <f>MIN($B$21,D47*C47+0.02*MAX(0,C47-24))</f>
        <v/>
      </c>
      <c r="H47" s="67">
        <f>IF(F47="Y",G47,E47)</f>
        <v/>
      </c>
      <c r="I47" s="68">
        <f>H47*($B$13*((1+$B$14)^(A47-$B$11)+(1+$B$14)^(A47-$B$11-1)+(1+$B$14)^(A47-$B$11-2))/3)</f>
        <v/>
      </c>
      <c r="J47" s="55">
        <f>IF(H47&gt;=$B$21,"◄ 80% CAP","")</f>
        <v/>
      </c>
    </row>
    <row r="48">
      <c r="A48" s="55" t="n">
        <v>65</v>
      </c>
      <c r="B48" s="55">
        <f>$B$12+(A48-$B$11)</f>
        <v/>
      </c>
      <c r="C48" s="66">
        <f>$B$6+(A48-$B$11)+$B$16</f>
        <v/>
      </c>
      <c r="D48" s="56">
        <f>IF(A48&lt;55,0,IF(A48&gt;=65,0.025,0.015+(A48-55)*0.001))</f>
        <v/>
      </c>
      <c r="E48" s="56">
        <f>MIN($B$21,D48*C48)</f>
        <v/>
      </c>
      <c r="F48" s="55">
        <f>IF(AND($B$7="Y",C48&gt;=30,$B$8+(A48-$B$11)&gt;=20),"Y","N")</f>
        <v/>
      </c>
      <c r="G48" s="56">
        <f>MIN($B$21,D48*C48+0.02*MAX(0,C48-24))</f>
        <v/>
      </c>
      <c r="H48" s="67">
        <f>IF(F48="Y",G48,E48)</f>
        <v/>
      </c>
      <c r="I48" s="68">
        <f>H48*($B$13*((1+$B$14)^(A48-$B$11)+(1+$B$14)^(A48-$B$11-1)+(1+$B$14)^(A48-$B$11-2))/3)</f>
        <v/>
      </c>
      <c r="J48" s="55">
        <f>IF(H48&gt;=$B$21,"◄ 80% CAP","")</f>
        <v/>
      </c>
    </row>
    <row r="49">
      <c r="A49" s="55" t="n">
        <v>66</v>
      </c>
      <c r="B49" s="55">
        <f>$B$12+(A49-$B$11)</f>
        <v/>
      </c>
      <c r="C49" s="66">
        <f>$B$6+(A49-$B$11)+$B$16</f>
        <v/>
      </c>
      <c r="D49" s="56">
        <f>IF(A49&lt;55,0,IF(A49&gt;=65,0.025,0.015+(A49-55)*0.001))</f>
        <v/>
      </c>
      <c r="E49" s="56">
        <f>MIN($B$21,D49*C49)</f>
        <v/>
      </c>
      <c r="F49" s="55">
        <f>IF(AND($B$7="Y",C49&gt;=30,$B$8+(A49-$B$11)&gt;=20),"Y","N")</f>
        <v/>
      </c>
      <c r="G49" s="56">
        <f>MIN($B$21,D49*C49+0.02*MAX(0,C49-24))</f>
        <v/>
      </c>
      <c r="H49" s="67">
        <f>IF(F49="Y",G49,E49)</f>
        <v/>
      </c>
      <c r="I49" s="68">
        <f>H49*($B$13*((1+$B$14)^(A49-$B$11)+(1+$B$14)^(A49-$B$11-1)+(1+$B$14)^(A49-$B$11-2))/3)</f>
        <v/>
      </c>
      <c r="J49" s="55">
        <f>IF(H49&gt;=$B$21,"◄ 80% CAP","")</f>
        <v/>
      </c>
    </row>
    <row r="50">
      <c r="A50" s="55" t="n">
        <v>67</v>
      </c>
      <c r="B50" s="55">
        <f>$B$12+(A50-$B$11)</f>
        <v/>
      </c>
      <c r="C50" s="66">
        <f>$B$6+(A50-$B$11)+$B$16</f>
        <v/>
      </c>
      <c r="D50" s="56">
        <f>IF(A50&lt;55,0,IF(A50&gt;=65,0.025,0.015+(A50-55)*0.001))</f>
        <v/>
      </c>
      <c r="E50" s="56">
        <f>MIN($B$21,D50*C50)</f>
        <v/>
      </c>
      <c r="F50" s="55">
        <f>IF(AND($B$7="Y",C50&gt;=30,$B$8+(A50-$B$11)&gt;=20),"Y","N")</f>
        <v/>
      </c>
      <c r="G50" s="56">
        <f>MIN($B$21,D50*C50+0.02*MAX(0,C50-24))</f>
        <v/>
      </c>
      <c r="H50" s="67">
        <f>IF(F50="Y",G50,E50)</f>
        <v/>
      </c>
      <c r="I50" s="68">
        <f>H50*($B$13*((1+$B$14)^(A50-$B$11)+(1+$B$14)^(A50-$B$11-1)+(1+$B$14)^(A50-$B$11-2))/3)</f>
        <v/>
      </c>
      <c r="J50" s="55">
        <f>IF(H50&gt;=$B$21,"◄ 80% CAP","")</f>
        <v/>
      </c>
    </row>
    <row r="52">
      <c r="A52" s="63" t="inlineStr">
        <is>
          <t>Earliest age at 80% cap:</t>
        </is>
      </c>
      <c r="C52" s="69">
        <f>IFERROR(INDEX(A38:A50,MATCH(TRUE,INDEX(H38:H50&gt;=$B$21,0),0)),"Not by 67")</f>
        <v/>
      </c>
    </row>
    <row r="53">
      <c r="A53" s="63" t="inlineStr">
        <is>
          <t>…in calendar year:</t>
        </is>
      </c>
      <c r="C53" s="69">
        <f>IFERROR($B$12+(C52-$B$11),"—")</f>
        <v/>
      </c>
    </row>
    <row r="55">
      <c r="A55" s="41"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2" t="inlineStr">
        <is>
          <t>FIRE Dashboard — Naughton Family</t>
        </is>
      </c>
    </row>
    <row r="2" ht="40" customHeight="1" s="39">
      <c r="A2" s="43" t="inlineStr">
        <is>
          <t>Educational planning tool, not investment advice. ORANGE = assumptions you set  •  YELLOW = balances/contributions (snapshot as of now — update over time). FI math uses a REAL (inflation-adjusted) return.</t>
        </is>
      </c>
    </row>
    <row r="4">
      <c r="A4" s="44" t="inlineStr">
        <is>
          <t>① HOUSEHOLD ASSUMPTIONS</t>
        </is>
      </c>
      <c r="B4" s="45" t="n"/>
      <c r="C4" s="45" t="n"/>
    </row>
    <row r="5">
      <c r="A5" t="inlineStr">
        <is>
          <t>Matt's current age</t>
        </is>
      </c>
      <c r="B5" s="49" t="n">
        <v>45</v>
      </c>
    </row>
    <row r="6">
      <c r="A6" t="inlineStr">
        <is>
          <t>Sue's current age</t>
        </is>
      </c>
      <c r="B6" s="49" t="n">
        <v>45</v>
      </c>
    </row>
    <row r="7">
      <c r="A7" t="inlineStr">
        <is>
          <t>Current calendar year</t>
        </is>
      </c>
      <c r="B7" s="49" t="n">
        <v>2026</v>
      </c>
    </row>
    <row r="8">
      <c r="A8" t="inlineStr">
        <is>
          <t>Target annual retirement spend ($)</t>
        </is>
      </c>
      <c r="B8" s="50" t="n">
        <v>90000</v>
      </c>
      <c r="C8" s="47" t="inlineStr">
        <is>
          <t>Use your Income Statement expenses as a guide.</t>
        </is>
      </c>
    </row>
    <row r="9">
      <c r="A9" t="inlineStr">
        <is>
          <t>Safe withdrawal rate (SWR)</t>
        </is>
      </c>
      <c r="B9" s="70" t="n">
        <v>0.04</v>
      </c>
    </row>
    <row r="10">
      <c r="A10" t="inlineStr">
        <is>
          <t>Nominal expected return</t>
        </is>
      </c>
      <c r="B10" s="70" t="n">
        <v>0.07000000000000001</v>
      </c>
      <c r="C10" s="47" t="inlineStr">
        <is>
          <t>Matches the 7% on your Scenarios tab.</t>
        </is>
      </c>
    </row>
    <row r="11">
      <c r="A11" t="inlineStr">
        <is>
          <t>Assumed inflation</t>
        </is>
      </c>
      <c r="B11" s="70" t="n">
        <v>0.03</v>
      </c>
    </row>
    <row r="12">
      <c r="A12" t="inlineStr">
        <is>
          <t>Real return (auto)</t>
        </is>
      </c>
      <c r="B12" s="71">
        <f>(1+B10)/(1+B11)-1</f>
        <v/>
      </c>
    </row>
    <row r="14">
      <c r="A14" s="44" t="inlineStr">
        <is>
          <t>② CURRENT INVESTED ASSETS  (from Balances)</t>
        </is>
      </c>
      <c r="B14" s="45" t="n"/>
      <c r="C14" s="45" t="n"/>
    </row>
    <row r="15">
      <c r="A15" t="inlineStr">
        <is>
          <t>Matt 401k (MathWorks)</t>
        </is>
      </c>
      <c r="B15" s="72" t="n">
        <v>228000</v>
      </c>
    </row>
    <row r="16">
      <c r="A16" t="inlineStr">
        <is>
          <t>Sue 403b (Equitable)</t>
        </is>
      </c>
      <c r="B16" s="72" t="n">
        <v>0</v>
      </c>
    </row>
    <row r="17">
      <c r="A17" t="inlineStr">
        <is>
          <t>IRAs (Matt + Sue)</t>
        </is>
      </c>
      <c r="B17" s="72" t="n">
        <v>0</v>
      </c>
    </row>
    <row r="18">
      <c r="A18" t="inlineStr">
        <is>
          <t>HSA (invested portion)</t>
        </is>
      </c>
      <c r="B18" s="72" t="n">
        <v>0</v>
      </c>
    </row>
    <row r="19">
      <c r="A19" t="inlineStr">
        <is>
          <t>Taxable brokerage (Schwab)</t>
        </is>
      </c>
      <c r="B19" s="72" t="n">
        <v>0</v>
      </c>
    </row>
    <row r="20">
      <c r="A20" t="inlineStr">
        <is>
          <t>Cash earmarked for FI</t>
        </is>
      </c>
      <c r="B20" s="72" t="n">
        <v>0</v>
      </c>
      <c r="C20" s="47" t="inlineStr">
        <is>
          <t>Exclude your emergency fund.</t>
        </is>
      </c>
    </row>
    <row r="21">
      <c r="A21" s="63" t="inlineStr">
        <is>
          <t>TOTAL INVESTED</t>
        </is>
      </c>
      <c r="B21" s="64">
        <f>SUM(B15:B20)</f>
        <v/>
      </c>
    </row>
    <row r="22">
      <c r="A22" t="inlineStr">
        <is>
          <t>(memo) 529 — excluded from FI</t>
        </is>
      </c>
      <c r="B22" s="73" t="n">
        <v>14298</v>
      </c>
      <c r="C22" s="47" t="inlineStr">
        <is>
          <t>Kids' college — not part of your FI number.</t>
        </is>
      </c>
    </row>
    <row r="24">
      <c r="A24" s="44" t="inlineStr">
        <is>
          <t>③ ANNUAL CONTRIBUTIONS</t>
        </is>
      </c>
      <c r="B24" s="45" t="n"/>
      <c r="C24" s="45" t="n"/>
    </row>
    <row r="25">
      <c r="A25" t="inlineStr">
        <is>
          <t>Matt 401k (employee)</t>
        </is>
      </c>
      <c r="B25" s="72" t="n">
        <v>23500</v>
      </c>
    </row>
    <row r="26">
      <c r="A26" t="inlineStr">
        <is>
          <t>Employer 401k match</t>
        </is>
      </c>
      <c r="B26" s="72" t="n">
        <v>4338</v>
      </c>
    </row>
    <row r="27">
      <c r="A27" t="inlineStr">
        <is>
          <t>Sue 403b</t>
        </is>
      </c>
      <c r="B27" s="72" t="n">
        <v>0</v>
      </c>
    </row>
    <row r="28">
      <c r="A28" t="inlineStr">
        <is>
          <t>HSA</t>
        </is>
      </c>
      <c r="B28" s="72" t="n">
        <v>9000</v>
      </c>
      <c r="C28" s="47" t="inlineStr">
        <is>
          <t>2027 family HSA limit.</t>
        </is>
      </c>
    </row>
    <row r="29">
      <c r="A29" t="inlineStr">
        <is>
          <t>IRAs (both)</t>
        </is>
      </c>
      <c r="B29" s="72" t="n">
        <v>15000</v>
      </c>
    </row>
    <row r="30">
      <c r="A30" t="inlineStr">
        <is>
          <t>Taxable brokerage</t>
        </is>
      </c>
      <c r="B30" s="72" t="n">
        <v>0</v>
      </c>
    </row>
    <row r="31">
      <c r="A31" t="inlineStr">
        <is>
          <t>529</t>
        </is>
      </c>
      <c r="B31" s="72" t="n">
        <v>1200</v>
      </c>
    </row>
    <row r="32">
      <c r="A32" s="63" t="inlineStr">
        <is>
          <t>TOTAL ANNUAL INVESTED</t>
        </is>
      </c>
      <c r="B32" s="64">
        <f>SUM(B25:B31)</f>
        <v/>
      </c>
    </row>
    <row r="34">
      <c r="A34" s="44" t="inlineStr">
        <is>
          <t>④ SAVINGS RATE</t>
        </is>
      </c>
      <c r="B34" s="45" t="n"/>
      <c r="C34" s="45" t="n"/>
    </row>
    <row r="35">
      <c r="A35" t="inlineStr">
        <is>
          <t>Gross household income ($)</t>
        </is>
      </c>
      <c r="B35" s="50" t="n">
        <v>229000</v>
      </c>
      <c r="C35" s="47" t="inlineStr">
        <is>
          <t>Matt (~$144k) + Sue's salary.</t>
        </is>
      </c>
    </row>
    <row r="36">
      <c r="A36" t="inlineStr">
        <is>
          <t>Savings rate</t>
        </is>
      </c>
      <c r="B36" s="74">
        <f>B32/B35</f>
        <v/>
      </c>
    </row>
    <row r="38">
      <c r="A38" s="44" t="inlineStr">
        <is>
          <t>⑤ FI NUMBER  (with &amp; without the pension)</t>
        </is>
      </c>
      <c r="B38" s="45" t="n"/>
      <c r="C38" s="45" t="n"/>
    </row>
    <row r="39">
      <c r="A39" t="inlineStr">
        <is>
          <t>Gross FI number (spend ÷ SWR)</t>
        </is>
      </c>
      <c r="B39" s="64">
        <f>B8/B9</f>
        <v/>
      </c>
      <c r="C39" s="47" t="inlineStr">
        <is>
          <t>Portfolio-only target, today's dollars — the conservative number to aim at.</t>
        </is>
      </c>
    </row>
    <row r="40">
      <c r="A40" t="inlineStr">
        <is>
          <t>Sue's annual pension (from Pension tab)</t>
        </is>
      </c>
      <c r="B40" s="73">
        <f>'Pension - Sue'!B33</f>
        <v/>
      </c>
      <c r="C40" s="47" t="inlineStr">
        <is>
          <t>Future nominal $ (grown to her retirement) — treat the offset below as approximate.</t>
        </is>
      </c>
    </row>
    <row r="41">
      <c r="A41" t="inlineStr">
        <is>
          <t>Social Security household (annual, est)</t>
        </is>
      </c>
      <c r="B41" s="50" t="n">
        <v>40000</v>
      </c>
      <c r="C41" s="47" t="inlineStr">
        <is>
          <t>WEP/GPO repealed (2025) — Sue keeps full spousal/survivor SS. Verify her record.</t>
        </is>
      </c>
    </row>
    <row r="42">
      <c r="A42" t="inlineStr">
        <is>
          <t>Income floor (pension + SS)</t>
        </is>
      </c>
      <c r="B42" s="73">
        <f>B40+B41</f>
        <v/>
      </c>
    </row>
    <row r="43">
      <c r="A43" t="inlineStr">
        <is>
          <t>Pension+SS capitalized value</t>
        </is>
      </c>
      <c r="B43" s="73">
        <f>B42/B9</f>
        <v/>
      </c>
      <c r="C43" s="47" t="inlineStr">
        <is>
          <t>Roughly what that income floor is 'worth' vs a portfolio — it reduces the target below.</t>
        </is>
      </c>
    </row>
    <row r="44">
      <c r="A44" s="63" t="inlineStr">
        <is>
          <t>NET FI number (target once floor starts)</t>
        </is>
      </c>
      <c r="B44" s="64">
        <f>MAX(0,(B8-B42)/B9)</f>
        <v/>
      </c>
      <c r="C44" s="47" t="inlineStr">
        <is>
          <t>$0 means pension+SS alone cover target spend in the traditional-retirement phase.</t>
        </is>
      </c>
    </row>
    <row r="48">
      <c r="A48" s="44" t="inlineStr">
        <is>
          <t>⑥ YEARS TO FI  (portfolio-only runway)</t>
        </is>
      </c>
      <c r="B48" s="45" t="n"/>
      <c r="C48" s="45" t="n"/>
    </row>
    <row r="49">
      <c r="A49" t="inlineStr">
        <is>
          <t>Years to reach GROSS FI number</t>
        </is>
      </c>
      <c r="B49" s="75">
        <f>IFERROR(NPER(B12,-B32,-B21,B39),"check inputs")</f>
        <v/>
      </c>
      <c r="C49" s="41" t="inlineStr">
        <is>
          <t>Current invested + annual contributions growing at the real return. Pension+SS shorten this once they begin (see ⑤).</t>
        </is>
      </c>
    </row>
    <row r="50">
      <c r="A50" t="inlineStr">
        <is>
          <t>Matt's age at FI</t>
        </is>
      </c>
      <c r="B50" s="76">
        <f>IF(ISNUMBER(B49),B5+B49,"—")</f>
        <v/>
      </c>
    </row>
    <row r="51">
      <c r="A51" t="inlineStr">
        <is>
          <t>FI calendar year</t>
        </is>
      </c>
      <c r="B51" s="77">
        <f>IF(ISNUMBER(B49),B7+B49,"—")</f>
        <v/>
      </c>
    </row>
    <row r="53">
      <c r="A53" s="44" t="inlineStr">
        <is>
          <t>⑦ PRE-59½ BRIDGE  (early-access runway)</t>
        </is>
      </c>
      <c r="B53" s="45" t="n"/>
      <c r="C53" s="45" t="n"/>
    </row>
    <row r="54">
      <c r="A54" t="inlineStr">
        <is>
          <t>Planned early-retire age (Matt)</t>
        </is>
      </c>
      <c r="B54" s="49" t="n">
        <v>55</v>
      </c>
    </row>
    <row r="55">
      <c r="A55" t="inlineStr">
        <is>
          <t>Roth IRA contributions (accessible)</t>
        </is>
      </c>
      <c r="B55" s="72" t="n">
        <v>0</v>
      </c>
    </row>
    <row r="56">
      <c r="A56" t="inlineStr">
        <is>
          <t>HSA receipt shoebox (accessible)</t>
        </is>
      </c>
      <c r="B56" s="72" t="n">
        <v>0</v>
      </c>
    </row>
    <row r="57">
      <c r="A57" t="inlineStr">
        <is>
          <t>Taxable brokerage</t>
        </is>
      </c>
      <c r="B57" s="72" t="n">
        <v>0</v>
      </c>
    </row>
    <row r="58">
      <c r="A58" s="63" t="inlineStr">
        <is>
          <t>Total accessible before 59½</t>
        </is>
      </c>
      <c r="B58" s="64">
        <f>SUM(B55:B57)</f>
        <v/>
      </c>
    </row>
    <row r="59">
      <c r="A59" t="inlineStr">
        <is>
          <t>Years until 59½</t>
        </is>
      </c>
      <c r="B59" s="76">
        <f>59.5-B54</f>
        <v/>
      </c>
    </row>
    <row r="60">
      <c r="A60" t="inlineStr">
        <is>
          <t>Annual spend uncovered in bridge ($)</t>
        </is>
      </c>
      <c r="B60" s="50" t="n">
        <v>90000</v>
      </c>
      <c r="C60" s="47" t="inlineStr">
        <is>
          <t>If Sue is still teaching, subtract her take-home — the gap may be small or zero.</t>
        </is>
      </c>
    </row>
    <row r="61">
      <c r="A61" t="inlineStr">
        <is>
          <t>Bridge need</t>
        </is>
      </c>
      <c r="B61" s="73">
        <f>B59*B60</f>
        <v/>
      </c>
    </row>
    <row r="62">
      <c r="A62" s="63" t="inlineStr">
        <is>
          <t>Bridge surplus / (gap)</t>
        </is>
      </c>
      <c r="B62" s="64">
        <f>B58-B61</f>
        <v/>
      </c>
    </row>
    <row r="64">
      <c r="A64" s="44" t="inlineStr">
        <is>
          <t>⑧ TWO-PHASE PLAN</t>
        </is>
      </c>
      <c r="B64" s="45" t="n"/>
      <c r="C64" s="45" t="n"/>
    </row>
    <row r="65">
      <c r="A65" s="63" t="inlineStr">
        <is>
          <t>Phase 1 — Matt steps back first</t>
        </is>
      </c>
    </row>
    <row r="66">
      <c r="A66" s="41" t="inlineStr">
        <is>
          <t>Sue keeps teaching: her salary + retiree-eligible health coverage bridge the household, so the portfolio keeps compounding and the pre-59½ gap above stays small.</t>
        </is>
      </c>
    </row>
    <row r="67"/>
    <row r="68">
      <c r="A68" s="63" t="inlineStr">
        <is>
          <t>Phase 2 — Sue reaches her 80% pension cap</t>
        </is>
      </c>
    </row>
    <row r="69">
      <c r="A69" s="78">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2" t="inlineStr">
        <is>
          <t>Amazon — Monthly Reconciliation</t>
        </is>
      </c>
    </row>
    <row r="2" ht="42" customHeight="1" s="39">
      <c r="A2" s="43"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4" t="inlineStr">
        <is>
          <t>① AMAZON TOTAL TO RECONCILE  (auto — from CC Detail)</t>
        </is>
      </c>
      <c r="B4" s="45" t="n"/>
      <c r="C4" s="45" t="n"/>
      <c r="D4" s="45" t="n"/>
      <c r="E4" s="45" t="n"/>
      <c r="F4" s="45" t="n"/>
      <c r="G4" s="45" t="n"/>
      <c r="H4" s="45" t="n"/>
      <c r="I4" s="45" t="n"/>
      <c r="J4" s="45" t="n"/>
      <c r="K4" s="45" t="n"/>
      <c r="L4" s="45" t="n"/>
      <c r="M4" s="45" t="n"/>
      <c r="N4" s="45" t="n"/>
    </row>
    <row r="5">
      <c r="A5" s="79" t="inlineStr">
        <is>
          <t>Month</t>
        </is>
      </c>
      <c r="B5" s="53" t="inlineStr">
        <is>
          <t>Jan</t>
        </is>
      </c>
      <c r="C5" s="53" t="inlineStr">
        <is>
          <t>Feb</t>
        </is>
      </c>
      <c r="D5" s="53" t="inlineStr">
        <is>
          <t>Mar</t>
        </is>
      </c>
      <c r="E5" s="53" t="inlineStr">
        <is>
          <t>Apr</t>
        </is>
      </c>
      <c r="F5" s="53" t="inlineStr">
        <is>
          <t>May</t>
        </is>
      </c>
      <c r="G5" s="53" t="inlineStr">
        <is>
          <t>Jun</t>
        </is>
      </c>
      <c r="H5" s="53" t="inlineStr">
        <is>
          <t>Jul</t>
        </is>
      </c>
      <c r="I5" s="53" t="inlineStr">
        <is>
          <t>Aug</t>
        </is>
      </c>
      <c r="J5" s="53" t="inlineStr">
        <is>
          <t>Sep</t>
        </is>
      </c>
      <c r="K5" s="53" t="inlineStr">
        <is>
          <t>Oct</t>
        </is>
      </c>
      <c r="L5" s="53" t="inlineStr">
        <is>
          <t>Nov</t>
        </is>
      </c>
      <c r="M5" s="53" t="inlineStr">
        <is>
          <t>Dec</t>
        </is>
      </c>
      <c r="N5" s="53" t="inlineStr">
        <is>
          <t>YTD</t>
        </is>
      </c>
    </row>
    <row r="6">
      <c r="A6" s="80" t="inlineStr">
        <is>
          <t>Amazon (misc) — to reconcile</t>
        </is>
      </c>
      <c r="B6" s="81">
        <f>'CC Detail'!B14</f>
        <v/>
      </c>
      <c r="C6" s="81">
        <f>'CC Detail'!C14</f>
        <v/>
      </c>
      <c r="D6" s="81">
        <f>'CC Detail'!D14</f>
        <v/>
      </c>
      <c r="E6" s="81">
        <f>'CC Detail'!E14</f>
        <v/>
      </c>
      <c r="F6" s="81">
        <f>'CC Detail'!F14</f>
        <v/>
      </c>
      <c r="G6" s="81">
        <f>'CC Detail'!G14</f>
        <v/>
      </c>
      <c r="H6" s="81">
        <f>'CC Detail'!H14</f>
        <v/>
      </c>
      <c r="I6" s="81">
        <f>'CC Detail'!I14</f>
        <v/>
      </c>
      <c r="J6" s="81">
        <f>'CC Detail'!J14</f>
        <v/>
      </c>
      <c r="K6" s="81">
        <f>'CC Detail'!K14</f>
        <v/>
      </c>
      <c r="L6" s="81">
        <f>'CC Detail'!L14</f>
        <v/>
      </c>
      <c r="M6" s="81">
        <f>'CC Detail'!M14</f>
        <v/>
      </c>
      <c r="N6" s="82">
        <f>SUM(B6:M6)</f>
        <v/>
      </c>
    </row>
    <row r="8">
      <c r="A8" s="44" t="inlineStr">
        <is>
          <t>② ALLOCATE INTO CATEGORIES  (enter $ per month)</t>
        </is>
      </c>
      <c r="B8" s="45" t="n"/>
      <c r="C8" s="45" t="n"/>
      <c r="D8" s="45" t="n"/>
      <c r="E8" s="45" t="n"/>
      <c r="F8" s="45" t="n"/>
      <c r="G8" s="45" t="n"/>
      <c r="H8" s="45" t="n"/>
      <c r="I8" s="45" t="n"/>
      <c r="J8" s="45" t="n"/>
      <c r="K8" s="45" t="n"/>
      <c r="L8" s="45" t="n"/>
      <c r="M8" s="45" t="n"/>
      <c r="N8" s="45" t="n"/>
    </row>
    <row r="9">
      <c r="A9" s="79" t="inlineStr">
        <is>
          <t>Category</t>
        </is>
      </c>
      <c r="B9" s="53" t="inlineStr">
        <is>
          <t>Jan</t>
        </is>
      </c>
      <c r="C9" s="53" t="inlineStr">
        <is>
          <t>Feb</t>
        </is>
      </c>
      <c r="D9" s="53" t="inlineStr">
        <is>
          <t>Mar</t>
        </is>
      </c>
      <c r="E9" s="53" t="inlineStr">
        <is>
          <t>Apr</t>
        </is>
      </c>
      <c r="F9" s="53" t="inlineStr">
        <is>
          <t>May</t>
        </is>
      </c>
      <c r="G9" s="53" t="inlineStr">
        <is>
          <t>Jun</t>
        </is>
      </c>
      <c r="H9" s="53" t="inlineStr">
        <is>
          <t>Jul</t>
        </is>
      </c>
      <c r="I9" s="53" t="inlineStr">
        <is>
          <t>Aug</t>
        </is>
      </c>
      <c r="J9" s="53" t="inlineStr">
        <is>
          <t>Sep</t>
        </is>
      </c>
      <c r="K9" s="53" t="inlineStr">
        <is>
          <t>Oct</t>
        </is>
      </c>
      <c r="L9" s="53" t="inlineStr">
        <is>
          <t>Nov</t>
        </is>
      </c>
      <c r="M9" s="53" t="inlineStr">
        <is>
          <t>Dec</t>
        </is>
      </c>
      <c r="N9" s="53" t="inlineStr">
        <is>
          <t>YTD</t>
        </is>
      </c>
    </row>
    <row r="10">
      <c r="A10" s="83" t="inlineStr">
        <is>
          <t>Groceries</t>
        </is>
      </c>
      <c r="B10" s="84" t="n">
        <v>0</v>
      </c>
      <c r="C10" s="84" t="n">
        <v>0</v>
      </c>
      <c r="D10" s="84" t="n">
        <v>0</v>
      </c>
      <c r="E10" s="84" t="n">
        <v>0</v>
      </c>
      <c r="F10" s="84" t="n">
        <v>0</v>
      </c>
      <c r="G10" s="84" t="n">
        <v>0</v>
      </c>
      <c r="H10" s="84" t="n">
        <v>0</v>
      </c>
      <c r="I10" s="84" t="n">
        <v>0</v>
      </c>
      <c r="J10" s="84" t="n">
        <v>0</v>
      </c>
      <c r="K10" s="84" t="n">
        <v>0</v>
      </c>
      <c r="L10" s="84" t="n">
        <v>0</v>
      </c>
      <c r="M10" s="84" t="n">
        <v>0</v>
      </c>
      <c r="N10" s="81">
        <f>SUM(B10:M10)</f>
        <v/>
      </c>
    </row>
    <row r="11">
      <c r="A11" s="83" t="inlineStr">
        <is>
          <t>Kids / Activities</t>
        </is>
      </c>
      <c r="B11" s="84" t="n">
        <v>0</v>
      </c>
      <c r="C11" s="84" t="n">
        <v>0</v>
      </c>
      <c r="D11" s="84" t="n">
        <v>0</v>
      </c>
      <c r="E11" s="84" t="n">
        <v>0</v>
      </c>
      <c r="F11" s="84" t="n">
        <v>0</v>
      </c>
      <c r="G11" s="84" t="n">
        <v>0</v>
      </c>
      <c r="H11" s="84" t="n">
        <v>0</v>
      </c>
      <c r="I11" s="84" t="n">
        <v>0</v>
      </c>
      <c r="J11" s="84" t="n">
        <v>0</v>
      </c>
      <c r="K11" s="84" t="n">
        <v>0</v>
      </c>
      <c r="L11" s="84" t="n">
        <v>0</v>
      </c>
      <c r="M11" s="84" t="n">
        <v>0</v>
      </c>
      <c r="N11" s="81">
        <f>SUM(B11:M11)</f>
        <v/>
      </c>
    </row>
    <row r="12">
      <c r="A12" s="83" t="inlineStr">
        <is>
          <t>Personal Care</t>
        </is>
      </c>
      <c r="B12" s="84" t="n">
        <v>0</v>
      </c>
      <c r="C12" s="84" t="n">
        <v>0</v>
      </c>
      <c r="D12" s="84" t="n">
        <v>0</v>
      </c>
      <c r="E12" s="84" t="n">
        <v>0</v>
      </c>
      <c r="F12" s="84" t="n">
        <v>0</v>
      </c>
      <c r="G12" s="84" t="n">
        <v>0</v>
      </c>
      <c r="H12" s="84" t="n">
        <v>0</v>
      </c>
      <c r="I12" s="84" t="n">
        <v>0</v>
      </c>
      <c r="J12" s="84" t="n">
        <v>0</v>
      </c>
      <c r="K12" s="84" t="n">
        <v>0</v>
      </c>
      <c r="L12" s="84" t="n">
        <v>0</v>
      </c>
      <c r="M12" s="84" t="n">
        <v>0</v>
      </c>
      <c r="N12" s="81">
        <f>SUM(B12:M12)</f>
        <v/>
      </c>
    </row>
    <row r="13">
      <c r="A13" s="83" t="inlineStr">
        <is>
          <t>Pharmacy / Health</t>
        </is>
      </c>
      <c r="B13" s="84" t="n">
        <v>0</v>
      </c>
      <c r="C13" s="84" t="n">
        <v>0</v>
      </c>
      <c r="D13" s="84" t="n">
        <v>0</v>
      </c>
      <c r="E13" s="84" t="n">
        <v>0</v>
      </c>
      <c r="F13" s="84" t="n">
        <v>0</v>
      </c>
      <c r="G13" s="84" t="n">
        <v>0</v>
      </c>
      <c r="H13" s="84" t="n">
        <v>0</v>
      </c>
      <c r="I13" s="84" t="n">
        <v>0</v>
      </c>
      <c r="J13" s="84" t="n">
        <v>0</v>
      </c>
      <c r="K13" s="84" t="n">
        <v>0</v>
      </c>
      <c r="L13" s="84" t="n">
        <v>0</v>
      </c>
      <c r="M13" s="84" t="n">
        <v>0</v>
      </c>
      <c r="N13" s="81">
        <f>SUM(B13:M13)</f>
        <v/>
      </c>
    </row>
    <row r="14">
      <c r="A14" s="83" t="inlineStr">
        <is>
          <t>Home / Hardware</t>
        </is>
      </c>
      <c r="B14" s="84" t="n">
        <v>0</v>
      </c>
      <c r="C14" s="84" t="n">
        <v>0</v>
      </c>
      <c r="D14" s="84" t="n">
        <v>0</v>
      </c>
      <c r="E14" s="84" t="n">
        <v>0</v>
      </c>
      <c r="F14" s="84" t="n">
        <v>0</v>
      </c>
      <c r="G14" s="84" t="n">
        <v>0</v>
      </c>
      <c r="H14" s="84" t="n">
        <v>0</v>
      </c>
      <c r="I14" s="84" t="n">
        <v>0</v>
      </c>
      <c r="J14" s="84" t="n">
        <v>0</v>
      </c>
      <c r="K14" s="84" t="n">
        <v>0</v>
      </c>
      <c r="L14" s="84" t="n">
        <v>0</v>
      </c>
      <c r="M14" s="84" t="n">
        <v>0</v>
      </c>
      <c r="N14" s="81">
        <f>SUM(B14:M14)</f>
        <v/>
      </c>
    </row>
    <row r="15">
      <c r="A15" s="83" t="inlineStr">
        <is>
          <t>Subscriptions (Prime/Kindle/Audible)</t>
        </is>
      </c>
      <c r="B15" s="84" t="n">
        <v>0</v>
      </c>
      <c r="C15" s="84" t="n">
        <v>0</v>
      </c>
      <c r="D15" s="84" t="n">
        <v>0</v>
      </c>
      <c r="E15" s="84" t="n">
        <v>0</v>
      </c>
      <c r="F15" s="84" t="n">
        <v>0</v>
      </c>
      <c r="G15" s="84" t="n">
        <v>0</v>
      </c>
      <c r="H15" s="84" t="n">
        <v>0</v>
      </c>
      <c r="I15" s="84" t="n">
        <v>0</v>
      </c>
      <c r="J15" s="84" t="n">
        <v>0</v>
      </c>
      <c r="K15" s="84" t="n">
        <v>0</v>
      </c>
      <c r="L15" s="84" t="n">
        <v>0</v>
      </c>
      <c r="M15" s="84" t="n">
        <v>0</v>
      </c>
      <c r="N15" s="81">
        <f>SUM(B15:M15)</f>
        <v/>
      </c>
    </row>
    <row r="16">
      <c r="A16" s="83" t="inlineStr">
        <is>
          <t>Other / gifts</t>
        </is>
      </c>
      <c r="B16" s="84" t="n">
        <v>0</v>
      </c>
      <c r="C16" s="84" t="n">
        <v>0</v>
      </c>
      <c r="D16" s="84" t="n">
        <v>0</v>
      </c>
      <c r="E16" s="84" t="n">
        <v>0</v>
      </c>
      <c r="F16" s="84" t="n">
        <v>0</v>
      </c>
      <c r="G16" s="84" t="n">
        <v>0</v>
      </c>
      <c r="H16" s="84" t="n">
        <v>0</v>
      </c>
      <c r="I16" s="84" t="n">
        <v>0</v>
      </c>
      <c r="J16" s="84" t="n">
        <v>0</v>
      </c>
      <c r="K16" s="84" t="n">
        <v>0</v>
      </c>
      <c r="L16" s="84" t="n">
        <v>0</v>
      </c>
      <c r="M16" s="84" t="n">
        <v>0</v>
      </c>
      <c r="N16" s="81">
        <f>SUM(B16:M16)</f>
        <v/>
      </c>
    </row>
    <row r="17">
      <c r="A17" s="80" t="inlineStr">
        <is>
          <t>Allocated total</t>
        </is>
      </c>
      <c r="B17" s="85">
        <f>SUM(B10:B16)</f>
        <v/>
      </c>
      <c r="C17" s="85">
        <f>SUM(C10:C16)</f>
        <v/>
      </c>
      <c r="D17" s="85">
        <f>SUM(D10:D16)</f>
        <v/>
      </c>
      <c r="E17" s="85">
        <f>SUM(E10:E16)</f>
        <v/>
      </c>
      <c r="F17" s="85">
        <f>SUM(F10:F16)</f>
        <v/>
      </c>
      <c r="G17" s="85">
        <f>SUM(G10:G16)</f>
        <v/>
      </c>
      <c r="H17" s="85">
        <f>SUM(H10:H16)</f>
        <v/>
      </c>
      <c r="I17" s="85">
        <f>SUM(I10:I16)</f>
        <v/>
      </c>
      <c r="J17" s="85">
        <f>SUM(J10:J16)</f>
        <v/>
      </c>
      <c r="K17" s="85">
        <f>SUM(K10:K16)</f>
        <v/>
      </c>
      <c r="L17" s="85">
        <f>SUM(L10:L16)</f>
        <v/>
      </c>
      <c r="M17" s="85">
        <f>SUM(M10:M16)</f>
        <v/>
      </c>
      <c r="N17" s="85">
        <f>SUM(N10:N16)</f>
        <v/>
      </c>
    </row>
    <row r="18">
      <c r="A18" s="80" t="inlineStr">
        <is>
          <t>Unallocated remaining</t>
        </is>
      </c>
      <c r="B18" s="82">
        <f>B6-B17</f>
        <v/>
      </c>
      <c r="C18" s="82">
        <f>C6-C17</f>
        <v/>
      </c>
      <c r="D18" s="82">
        <f>D6-D17</f>
        <v/>
      </c>
      <c r="E18" s="82">
        <f>E6-E17</f>
        <v/>
      </c>
      <c r="F18" s="82">
        <f>F6-F17</f>
        <v/>
      </c>
      <c r="G18" s="82">
        <f>G6-G17</f>
        <v/>
      </c>
      <c r="H18" s="82">
        <f>H6-H17</f>
        <v/>
      </c>
      <c r="I18" s="82">
        <f>I6-I17</f>
        <v/>
      </c>
      <c r="J18" s="82">
        <f>J6-J17</f>
        <v/>
      </c>
      <c r="K18" s="82">
        <f>K6-K17</f>
        <v/>
      </c>
      <c r="L18" s="82">
        <f>L6-L17</f>
        <v/>
      </c>
      <c r="M18" s="82">
        <f>M6-M17</f>
        <v/>
      </c>
      <c r="N18" s="82">
        <f>N6-N17</f>
        <v/>
      </c>
    </row>
    <row r="20">
      <c r="A20" s="44" t="inlineStr">
        <is>
          <t>③ RECONCILED CATEGORY TOTALS (YTD) — the un-muddied picture</t>
        </is>
      </c>
      <c r="B20" s="45" t="n"/>
      <c r="C20" s="45" t="n"/>
      <c r="D20" s="45" t="n"/>
    </row>
    <row r="21">
      <c r="A21" s="79" t="inlineStr">
        <is>
          <t>Category</t>
        </is>
      </c>
      <c r="B21" s="53" t="inlineStr">
        <is>
          <t>Native (CC Detail)</t>
        </is>
      </c>
      <c r="C21" s="53" t="inlineStr">
        <is>
          <t>+ Amazon</t>
        </is>
      </c>
      <c r="D21" s="53">
        <f> True total (YTD)</f>
        <v/>
      </c>
    </row>
    <row r="22">
      <c r="A22" s="83" t="inlineStr">
        <is>
          <t>Groceries</t>
        </is>
      </c>
      <c r="B22" s="81">
        <f>'CC Detail'!N5</f>
        <v/>
      </c>
      <c r="C22" s="81">
        <f>N10</f>
        <v/>
      </c>
      <c r="D22" s="82">
        <f>B22+C22</f>
        <v/>
      </c>
    </row>
    <row r="23">
      <c r="A23" s="83" t="inlineStr">
        <is>
          <t>Kids / Activities</t>
        </is>
      </c>
      <c r="B23" s="81">
        <f>'CC Detail'!N9</f>
        <v/>
      </c>
      <c r="C23" s="81">
        <f>N11</f>
        <v/>
      </c>
      <c r="D23" s="82">
        <f>B23+C23</f>
        <v/>
      </c>
    </row>
    <row r="24">
      <c r="A24" s="83" t="inlineStr">
        <is>
          <t>Personal Care</t>
        </is>
      </c>
      <c r="B24" s="81">
        <f>'CC Detail'!N11</f>
        <v/>
      </c>
      <c r="C24" s="81">
        <f>N12</f>
        <v/>
      </c>
      <c r="D24" s="82">
        <f>B24+C24</f>
        <v/>
      </c>
    </row>
    <row r="25">
      <c r="A25" s="83" t="inlineStr">
        <is>
          <t>Pharmacy / Health</t>
        </is>
      </c>
      <c r="B25" s="81">
        <f>'CC Detail'!N12</f>
        <v/>
      </c>
      <c r="C25" s="81">
        <f>N13</f>
        <v/>
      </c>
      <c r="D25" s="82">
        <f>B25+C25</f>
        <v/>
      </c>
    </row>
    <row r="26">
      <c r="A26" s="83" t="inlineStr">
        <is>
          <t>Home / Hardware</t>
        </is>
      </c>
      <c r="B26" s="81">
        <f>'CC Detail'!N13</f>
        <v/>
      </c>
      <c r="C26" s="81">
        <f>N14</f>
        <v/>
      </c>
      <c r="D26" s="82">
        <f>B26+C26</f>
        <v/>
      </c>
    </row>
    <row r="27">
      <c r="A27" s="83" t="inlineStr">
        <is>
          <t>Subscriptions</t>
        </is>
      </c>
      <c r="B27" s="81">
        <f>'CC Detail'!N8</f>
        <v/>
      </c>
      <c r="C27" s="81">
        <f>N15</f>
        <v/>
      </c>
      <c r="D27" s="82">
        <f>B27+C27</f>
        <v/>
      </c>
    </row>
    <row r="28">
      <c r="A28" s="83" t="inlineStr">
        <is>
          <t>Other / gifts</t>
        </is>
      </c>
      <c r="B28" s="81">
        <f>'CC Detail'!N17</f>
        <v/>
      </c>
      <c r="C28" s="81">
        <f>N16</f>
        <v/>
      </c>
      <c r="D28" s="82">
        <f>B28+C28</f>
        <v/>
      </c>
    </row>
    <row r="29">
      <c r="A29" s="41" t="inlineStr">
        <is>
          <t>Note: once split, these 'true totals' show real spend per category — Amazon no longer hides hardware, hygiene, and kids' purchases in one lump. Feed these into the guardrail when it's built.</t>
        </is>
      </c>
    </row>
    <row r="30"/>
    <row r="32">
      <c r="A32" s="44" t="inlineStr">
        <is>
          <t>④ REFERENCE — current Amazon transactions  (auto, read-only)</t>
        </is>
      </c>
      <c r="B32" s="45" t="n"/>
      <c r="C32" s="45" t="n"/>
      <c r="D32" s="45" t="n"/>
    </row>
    <row r="33">
      <c r="A33" s="41" t="inlineStr">
        <is>
          <t>Pulls Amazon rows from your Barclay import so you can see what to split. Refreshes when you paste new data.</t>
        </is>
      </c>
    </row>
    <row r="34">
      <c r="A34" s="79" t="inlineStr">
        <is>
          <t>Date</t>
        </is>
      </c>
      <c r="B34" s="79" t="inlineStr">
        <is>
          <t>Description</t>
        </is>
      </c>
      <c r="C34" s="53" t="inlineStr">
        <is>
          <t>Amount</t>
        </is>
      </c>
      <c r="D34" s="53"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2" t="inlineStr">
        <is>
          <t>Solar — Reinvestment &amp; Effective ROI</t>
        </is>
      </c>
    </row>
    <row r="2" ht="44" customHeight="1" s="39">
      <c r="A2" s="43"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4" t="inlineStr">
        <is>
          <t>① INCENTIVES &amp; NET CAPITAL COST</t>
        </is>
      </c>
      <c r="B4" s="45" t="n"/>
      <c r="C4" s="45" t="n"/>
      <c r="D4" s="45" t="n"/>
      <c r="E4" s="45" t="n"/>
      <c r="F4" s="45" t="n"/>
      <c r="G4" s="45" t="n"/>
      <c r="H4" s="45" t="n"/>
    </row>
    <row r="5">
      <c r="A5" t="inlineStr">
        <is>
          <t>Gross capital outlay</t>
        </is>
      </c>
      <c r="B5" s="73">
        <f>'Solar ROI'!N5</f>
        <v/>
      </c>
    </row>
    <row r="6">
      <c r="A6" t="inlineStr">
        <is>
          <t>Federal ITC (25D)</t>
        </is>
      </c>
      <c r="B6" s="50" t="n">
        <v>0</v>
      </c>
      <c r="C6" s="41" t="inlineStr">
        <is>
          <t>$0 if placed in service in 2026 (OBBB ended 25D after 12/31/2025). If PTO by 12/31/2025, use ~0.30×gross.</t>
        </is>
      </c>
    </row>
    <row r="7">
      <c r="A7" t="inlineStr">
        <is>
          <t>MA state credit (15%, max $1,000)</t>
        </is>
      </c>
      <c r="B7" s="73">
        <f>MIN(1000,0.15*B5)</f>
        <v/>
      </c>
    </row>
    <row r="8">
      <c r="A8" t="inlineStr">
        <is>
          <t>Other rebates / utility</t>
        </is>
      </c>
      <c r="B8" s="50" t="n">
        <v>0</v>
      </c>
    </row>
    <row r="9">
      <c r="A9" s="63" t="inlineStr">
        <is>
          <t>NET CAPITAL COST</t>
        </is>
      </c>
      <c r="B9" s="64">
        <f>B5-B6-B7-B8</f>
        <v/>
      </c>
    </row>
    <row r="11">
      <c r="A11" s="44" t="inlineStr">
        <is>
          <t>② MONTHLY ENERGY LOG  (Enphase — manual entry, kWh)</t>
        </is>
      </c>
      <c r="B11" s="45" t="n"/>
      <c r="C11" s="45" t="n"/>
      <c r="D11" s="45" t="n"/>
      <c r="E11" s="45" t="n"/>
      <c r="F11" s="45" t="n"/>
      <c r="G11" s="45" t="n"/>
      <c r="H11" s="45" t="n"/>
    </row>
    <row r="12">
      <c r="A12" s="47" t="inlineStr">
        <is>
          <t>Enter each month from your Enphase report. Net export = Exported − Imported (auto).</t>
        </is>
      </c>
    </row>
    <row r="13">
      <c r="A13" s="79" t="inlineStr">
        <is>
          <t>Month</t>
        </is>
      </c>
      <c r="B13" s="53" t="inlineStr">
        <is>
          <t>Produced</t>
        </is>
      </c>
      <c r="C13" s="53" t="inlineStr">
        <is>
          <t>Consumed</t>
        </is>
      </c>
      <c r="D13" s="53" t="inlineStr">
        <is>
          <t>Imported</t>
        </is>
      </c>
      <c r="E13" s="53" t="inlineStr">
        <is>
          <t>Exported</t>
        </is>
      </c>
      <c r="F13" s="53" t="inlineStr">
        <is>
          <t>Net export</t>
        </is>
      </c>
    </row>
    <row r="14">
      <c r="A14" s="83" t="inlineStr">
        <is>
          <t>Jan</t>
        </is>
      </c>
      <c r="B14" s="86" t="n"/>
      <c r="C14" s="86" t="n"/>
      <c r="D14" s="86" t="n"/>
      <c r="E14" s="86" t="n"/>
      <c r="F14" s="87">
        <f>E14-D14</f>
        <v/>
      </c>
    </row>
    <row r="15">
      <c r="A15" s="83" t="inlineStr">
        <is>
          <t>Feb</t>
        </is>
      </c>
      <c r="B15" s="86" t="n"/>
      <c r="C15" s="86" t="n"/>
      <c r="D15" s="86" t="n"/>
      <c r="E15" s="86" t="n"/>
      <c r="F15" s="87">
        <f>E15-D15</f>
        <v/>
      </c>
    </row>
    <row r="16">
      <c r="A16" s="83" t="inlineStr">
        <is>
          <t>Mar</t>
        </is>
      </c>
      <c r="B16" s="86" t="n">
        <v>133.1</v>
      </c>
      <c r="C16" s="86" t="n">
        <v>661.4</v>
      </c>
      <c r="D16" s="86" t="n">
        <v>528.3</v>
      </c>
      <c r="E16" s="86" t="n">
        <v>0</v>
      </c>
      <c r="F16" s="87">
        <f>E16-D16</f>
        <v/>
      </c>
    </row>
    <row r="17">
      <c r="A17" s="83" t="inlineStr">
        <is>
          <t>Apr</t>
        </is>
      </c>
      <c r="B17" s="86" t="n"/>
      <c r="C17" s="86" t="n"/>
      <c r="D17" s="86" t="n"/>
      <c r="E17" s="86" t="n"/>
      <c r="F17" s="87">
        <f>E17-D17</f>
        <v/>
      </c>
    </row>
    <row r="18">
      <c r="A18" s="83" t="inlineStr">
        <is>
          <t>May</t>
        </is>
      </c>
      <c r="B18" s="86" t="n">
        <v>997.1</v>
      </c>
      <c r="C18" s="86" t="n">
        <v>475.1</v>
      </c>
      <c r="D18" s="86" t="n">
        <v>246.7</v>
      </c>
      <c r="E18" s="86" t="n">
        <v>768.7</v>
      </c>
      <c r="F18" s="87">
        <f>E18-D18</f>
        <v/>
      </c>
    </row>
    <row r="19">
      <c r="A19" s="83" t="inlineStr">
        <is>
          <t>Jun</t>
        </is>
      </c>
      <c r="B19" s="86" t="n">
        <v>1128.1</v>
      </c>
      <c r="C19" s="86" t="n">
        <v>784.5</v>
      </c>
      <c r="D19" s="86" t="n">
        <v>383</v>
      </c>
      <c r="E19" s="86" t="n">
        <v>726.6</v>
      </c>
      <c r="F19" s="87">
        <f>E19-D19</f>
        <v/>
      </c>
    </row>
    <row r="20">
      <c r="A20" s="83" t="inlineStr">
        <is>
          <t>Jul</t>
        </is>
      </c>
      <c r="B20" s="86" t="n">
        <v>1058.5</v>
      </c>
      <c r="C20" s="86" t="n">
        <v>964.6</v>
      </c>
      <c r="D20" s="86" t="n">
        <v>507.4</v>
      </c>
      <c r="E20" s="86" t="n">
        <v>601.3</v>
      </c>
      <c r="F20" s="87">
        <f>E20-D20</f>
        <v/>
      </c>
    </row>
    <row r="21">
      <c r="A21" s="83" t="inlineStr">
        <is>
          <t>Aug</t>
        </is>
      </c>
      <c r="B21" s="86" t="n">
        <v>919.3</v>
      </c>
      <c r="C21" s="86" t="n">
        <v>938.4</v>
      </c>
      <c r="D21" s="86" t="n">
        <v>531.1</v>
      </c>
      <c r="E21" s="86" t="n">
        <v>512</v>
      </c>
      <c r="F21" s="87">
        <f>E21-D21</f>
        <v/>
      </c>
    </row>
    <row r="22">
      <c r="A22" s="83" t="inlineStr">
        <is>
          <t>Sep</t>
        </is>
      </c>
      <c r="B22" s="86" t="n"/>
      <c r="C22" s="86" t="n"/>
      <c r="D22" s="86" t="n"/>
      <c r="E22" s="86" t="n"/>
      <c r="F22" s="87">
        <f>E22-D22</f>
        <v/>
      </c>
    </row>
    <row r="23">
      <c r="A23" s="83" t="inlineStr">
        <is>
          <t>Oct</t>
        </is>
      </c>
      <c r="B23" s="86" t="n"/>
      <c r="C23" s="86" t="n"/>
      <c r="D23" s="86" t="n"/>
      <c r="E23" s="86" t="n"/>
      <c r="F23" s="87">
        <f>E23-D23</f>
        <v/>
      </c>
    </row>
    <row r="24">
      <c r="A24" s="83" t="inlineStr">
        <is>
          <t>Nov</t>
        </is>
      </c>
      <c r="B24" s="86" t="n"/>
      <c r="C24" s="86" t="n"/>
      <c r="D24" s="86" t="n"/>
      <c r="E24" s="86" t="n"/>
      <c r="F24" s="87">
        <f>E24-D24</f>
        <v/>
      </c>
    </row>
    <row r="25">
      <c r="A25" s="83" t="inlineStr">
        <is>
          <t>Dec</t>
        </is>
      </c>
      <c r="B25" s="86" t="n"/>
      <c r="C25" s="86" t="n"/>
      <c r="D25" s="86" t="n"/>
      <c r="E25" s="86" t="n"/>
      <c r="F25" s="87">
        <f>E25-D25</f>
        <v/>
      </c>
    </row>
    <row r="26">
      <c r="A26" s="80" t="inlineStr">
        <is>
          <t>Total</t>
        </is>
      </c>
      <c r="B26" s="88">
        <f>SUM(B14:B25)</f>
        <v/>
      </c>
      <c r="C26" s="88">
        <f>SUM(C14:C25)</f>
        <v/>
      </c>
      <c r="D26" s="88">
        <f>SUM(D14:D25)</f>
        <v/>
      </c>
      <c r="E26" s="88">
        <f>SUM(E14:E25)</f>
        <v/>
      </c>
      <c r="F26" s="88">
        <f>SUM(F14:F25)</f>
        <v/>
      </c>
    </row>
    <row r="27">
      <c r="A27" s="41" t="inlineStr">
        <is>
          <t>Enter each month from your Enphase monthly report (no CSV export — read the tile values). Production swings seasonally: March is pre-filled from your report (133 kWh produced vs 661 consumed → net import), while summer months over-produce and export. Net export = Exported − Imported (negative = net import).</t>
        </is>
      </c>
    </row>
    <row r="28"/>
    <row r="30">
      <c r="A30" s="44" t="inlineStr">
        <is>
          <t>③ SAVINGS TO REINVEST</t>
        </is>
      </c>
      <c r="B30" s="45" t="n"/>
      <c r="C30" s="45" t="n"/>
      <c r="D30" s="45" t="n"/>
      <c r="E30" s="45" t="n"/>
      <c r="F30" s="45" t="n"/>
      <c r="G30" s="45" t="n"/>
      <c r="H30" s="45" t="n"/>
    </row>
    <row r="31">
      <c r="A31" t="inlineStr">
        <is>
          <t>Pre-solar baseline bill ($/mo)</t>
        </is>
      </c>
      <c r="B31" s="50" t="n">
        <v>300</v>
      </c>
      <c r="C31" s="47" t="inlineStr">
        <is>
          <t>What you used to pay — this is the money you're freeing up.</t>
        </is>
      </c>
    </row>
    <row r="32">
      <c r="A32" t="inlineStr">
        <is>
          <t>Post-solar actual bill ($/mo)</t>
        </is>
      </c>
      <c r="B32" s="50" t="n">
        <v>10</v>
      </c>
      <c r="C32" s="47" t="inlineStr">
        <is>
          <t>Fixed customer/connection charges that remain.</t>
        </is>
      </c>
    </row>
    <row r="33">
      <c r="A33" s="63" t="inlineStr">
        <is>
          <t>Monthly avoided cost (reinvest)</t>
        </is>
      </c>
      <c r="B33" s="89">
        <f>MAX(0,B31-B32)</f>
        <v/>
      </c>
    </row>
    <row r="34">
      <c r="A34" t="inlineStr">
        <is>
          <t>Annual avoided cost</t>
        </is>
      </c>
      <c r="B34" s="73">
        <f>B33*12</f>
        <v/>
      </c>
    </row>
    <row r="35">
      <c r="A35" t="inlineStr">
        <is>
          <t>SMART incentive ($/kWh)</t>
        </is>
      </c>
      <c r="B35" s="90" t="n">
        <v>0.03</v>
      </c>
    </row>
    <row r="36">
      <c r="A36" t="inlineStr">
        <is>
          <t>Est. annual production (kWh)</t>
        </is>
      </c>
      <c r="B36" s="91" t="n">
        <v>7000</v>
      </c>
      <c r="C36" s="47" t="inlineStr">
        <is>
          <t>Rough full-year estimate from your 2026 trajectory (YTD ~5 MWh by Aug). Refine after a full year.</t>
        </is>
      </c>
    </row>
    <row r="37">
      <c r="A37" t="inlineStr">
        <is>
          <t>Annual SMART payment (yrs 1–10)</t>
        </is>
      </c>
      <c r="B37" s="73">
        <f>B35*B36</f>
        <v/>
      </c>
    </row>
    <row r="38">
      <c r="A38" t="inlineStr">
        <is>
          <t>Blended electric rate ($/kWh)</t>
        </is>
      </c>
      <c r="B38" s="90" t="n">
        <v>0.3</v>
      </c>
      <c r="C38" s="47" t="inlineStr">
        <is>
          <t>Used to value net-metering credits from exports.</t>
        </is>
      </c>
    </row>
    <row r="40">
      <c r="A40" s="44" t="inlineStr">
        <is>
          <t>④ REINVESTMENT MODEL — accelerate the ROI</t>
        </is>
      </c>
      <c r="B40" s="45" t="n"/>
      <c r="C40" s="45" t="n"/>
      <c r="D40" s="45" t="n"/>
      <c r="E40" s="45" t="n"/>
      <c r="F40" s="45" t="n"/>
      <c r="G40" s="45" t="n"/>
      <c r="H40" s="45" t="n"/>
    </row>
    <row r="41">
      <c r="A41" t="inlineStr">
        <is>
          <t>Reinvestment return (nominal)</t>
        </is>
      </c>
      <c r="B41" s="51" t="n">
        <v>0.07000000000000001</v>
      </c>
      <c r="C41" s="47" t="inlineStr">
        <is>
          <t>Matches the 7% on your Scenarios tab.</t>
        </is>
      </c>
    </row>
    <row r="42">
      <c r="A42" t="inlineStr">
        <is>
          <t>Electric rate escalation (%/yr)</t>
        </is>
      </c>
      <c r="B42" s="51" t="n">
        <v>0.04</v>
      </c>
    </row>
    <row r="43">
      <c r="A43" t="inlineStr">
        <is>
          <t>Horizon (years)</t>
        </is>
      </c>
      <c r="B43" s="49" t="n">
        <v>25</v>
      </c>
    </row>
    <row r="44">
      <c r="A44" t="inlineStr">
        <is>
          <t>First full year</t>
        </is>
      </c>
      <c r="B44" s="49" t="n">
        <v>2026</v>
      </c>
    </row>
    <row r="46" ht="28" customHeight="1" s="39">
      <c r="A46" s="65" t="inlineStr">
        <is>
          <t>Year</t>
        </is>
      </c>
      <c r="B46" s="65" t="inlineStr">
        <is>
          <t>Calendar</t>
        </is>
      </c>
      <c r="C46" s="65" t="inlineStr">
        <is>
          <t>Avoided cost</t>
        </is>
      </c>
      <c r="D46" s="65" t="inlineStr">
        <is>
          <t>SMART</t>
        </is>
      </c>
      <c r="E46" s="65" t="inlineStr">
        <is>
          <t>Reinvested/yr</t>
        </is>
      </c>
      <c r="F46" s="65" t="inlineStr">
        <is>
          <t>Reinvested bal.</t>
        </is>
      </c>
      <c r="G46" s="65" t="inlineStr">
        <is>
          <t>Simple cum.</t>
        </is>
      </c>
      <c r="H46" s="65" t="inlineStr">
        <is>
          <t>Status</t>
        </is>
      </c>
    </row>
    <row r="47">
      <c r="A47" s="55" t="n">
        <v>1</v>
      </c>
      <c r="B47" s="92">
        <f>$B$44+(A47-1)</f>
        <v/>
      </c>
      <c r="C47" s="68">
        <f>$B$34*(1+$B$42)^(A47-1)</f>
        <v/>
      </c>
      <c r="D47" s="68">
        <f>IF(A47&lt;=10,$B$37,0)</f>
        <v/>
      </c>
      <c r="E47" s="68">
        <f>C47+D47</f>
        <v/>
      </c>
      <c r="F47" s="85">
        <f>E47</f>
        <v/>
      </c>
      <c r="G47" s="68">
        <f>E47</f>
        <v/>
      </c>
      <c r="H47" s="83">
        <f>IF(F47&gt;=$B$9,"◄ accelerated payback",IF(G47&gt;=$B$9,"simple payback",""))</f>
        <v/>
      </c>
    </row>
    <row r="48">
      <c r="A48" s="55" t="n">
        <v>2</v>
      </c>
      <c r="B48" s="92">
        <f>$B$44+(A48-1)</f>
        <v/>
      </c>
      <c r="C48" s="68">
        <f>$B$34*(1+$B$42)^(A48-1)</f>
        <v/>
      </c>
      <c r="D48" s="68">
        <f>IF(A48&lt;=10,$B$37,0)</f>
        <v/>
      </c>
      <c r="E48" s="68">
        <f>C48+D48</f>
        <v/>
      </c>
      <c r="F48" s="85">
        <f>F47*(1+$B$41)+E48</f>
        <v/>
      </c>
      <c r="G48" s="68">
        <f>G47+E48</f>
        <v/>
      </c>
      <c r="H48" s="83">
        <f>IF(F48&gt;=$B$9,"◄ accelerated payback",IF(G48&gt;=$B$9,"simple payback",""))</f>
        <v/>
      </c>
    </row>
    <row r="49">
      <c r="A49" s="55" t="n">
        <v>3</v>
      </c>
      <c r="B49" s="92">
        <f>$B$44+(A49-1)</f>
        <v/>
      </c>
      <c r="C49" s="68">
        <f>$B$34*(1+$B$42)^(A49-1)</f>
        <v/>
      </c>
      <c r="D49" s="68">
        <f>IF(A49&lt;=10,$B$37,0)</f>
        <v/>
      </c>
      <c r="E49" s="68">
        <f>C49+D49</f>
        <v/>
      </c>
      <c r="F49" s="85">
        <f>F48*(1+$B$41)+E49</f>
        <v/>
      </c>
      <c r="G49" s="68">
        <f>G48+E49</f>
        <v/>
      </c>
      <c r="H49" s="83">
        <f>IF(F49&gt;=$B$9,"◄ accelerated payback",IF(G49&gt;=$B$9,"simple payback",""))</f>
        <v/>
      </c>
    </row>
    <row r="50">
      <c r="A50" s="55" t="n">
        <v>4</v>
      </c>
      <c r="B50" s="92">
        <f>$B$44+(A50-1)</f>
        <v/>
      </c>
      <c r="C50" s="68">
        <f>$B$34*(1+$B$42)^(A50-1)</f>
        <v/>
      </c>
      <c r="D50" s="68">
        <f>IF(A50&lt;=10,$B$37,0)</f>
        <v/>
      </c>
      <c r="E50" s="68">
        <f>C50+D50</f>
        <v/>
      </c>
      <c r="F50" s="85">
        <f>F49*(1+$B$41)+E50</f>
        <v/>
      </c>
      <c r="G50" s="68">
        <f>G49+E50</f>
        <v/>
      </c>
      <c r="H50" s="83">
        <f>IF(F50&gt;=$B$9,"◄ accelerated payback",IF(G50&gt;=$B$9,"simple payback",""))</f>
        <v/>
      </c>
    </row>
    <row r="51">
      <c r="A51" s="55" t="n">
        <v>5</v>
      </c>
      <c r="B51" s="92">
        <f>$B$44+(A51-1)</f>
        <v/>
      </c>
      <c r="C51" s="68">
        <f>$B$34*(1+$B$42)^(A51-1)</f>
        <v/>
      </c>
      <c r="D51" s="68">
        <f>IF(A51&lt;=10,$B$37,0)</f>
        <v/>
      </c>
      <c r="E51" s="68">
        <f>C51+D51</f>
        <v/>
      </c>
      <c r="F51" s="85">
        <f>F50*(1+$B$41)+E51</f>
        <v/>
      </c>
      <c r="G51" s="68">
        <f>G50+E51</f>
        <v/>
      </c>
      <c r="H51" s="83">
        <f>IF(F51&gt;=$B$9,"◄ accelerated payback",IF(G51&gt;=$B$9,"simple payback",""))</f>
        <v/>
      </c>
    </row>
    <row r="52">
      <c r="A52" s="55" t="n">
        <v>6</v>
      </c>
      <c r="B52" s="92">
        <f>$B$44+(A52-1)</f>
        <v/>
      </c>
      <c r="C52" s="68">
        <f>$B$34*(1+$B$42)^(A52-1)</f>
        <v/>
      </c>
      <c r="D52" s="68">
        <f>IF(A52&lt;=10,$B$37,0)</f>
        <v/>
      </c>
      <c r="E52" s="68">
        <f>C52+D52</f>
        <v/>
      </c>
      <c r="F52" s="85">
        <f>F51*(1+$B$41)+E52</f>
        <v/>
      </c>
      <c r="G52" s="68">
        <f>G51+E52</f>
        <v/>
      </c>
      <c r="H52" s="83">
        <f>IF(F52&gt;=$B$9,"◄ accelerated payback",IF(G52&gt;=$B$9,"simple payback",""))</f>
        <v/>
      </c>
    </row>
    <row r="53">
      <c r="A53" s="55" t="n">
        <v>7</v>
      </c>
      <c r="B53" s="92">
        <f>$B$44+(A53-1)</f>
        <v/>
      </c>
      <c r="C53" s="68">
        <f>$B$34*(1+$B$42)^(A53-1)</f>
        <v/>
      </c>
      <c r="D53" s="68">
        <f>IF(A53&lt;=10,$B$37,0)</f>
        <v/>
      </c>
      <c r="E53" s="68">
        <f>C53+D53</f>
        <v/>
      </c>
      <c r="F53" s="85">
        <f>F52*(1+$B$41)+E53</f>
        <v/>
      </c>
      <c r="G53" s="68">
        <f>G52+E53</f>
        <v/>
      </c>
      <c r="H53" s="83">
        <f>IF(F53&gt;=$B$9,"◄ accelerated payback",IF(G53&gt;=$B$9,"simple payback",""))</f>
        <v/>
      </c>
    </row>
    <row r="54">
      <c r="A54" s="55" t="n">
        <v>8</v>
      </c>
      <c r="B54" s="92">
        <f>$B$44+(A54-1)</f>
        <v/>
      </c>
      <c r="C54" s="68">
        <f>$B$34*(1+$B$42)^(A54-1)</f>
        <v/>
      </c>
      <c r="D54" s="68">
        <f>IF(A54&lt;=10,$B$37,0)</f>
        <v/>
      </c>
      <c r="E54" s="68">
        <f>C54+D54</f>
        <v/>
      </c>
      <c r="F54" s="85">
        <f>F53*(1+$B$41)+E54</f>
        <v/>
      </c>
      <c r="G54" s="68">
        <f>G53+E54</f>
        <v/>
      </c>
      <c r="H54" s="83">
        <f>IF(F54&gt;=$B$9,"◄ accelerated payback",IF(G54&gt;=$B$9,"simple payback",""))</f>
        <v/>
      </c>
    </row>
    <row r="55">
      <c r="A55" s="55" t="n">
        <v>9</v>
      </c>
      <c r="B55" s="92">
        <f>$B$44+(A55-1)</f>
        <v/>
      </c>
      <c r="C55" s="68">
        <f>$B$34*(1+$B$42)^(A55-1)</f>
        <v/>
      </c>
      <c r="D55" s="68">
        <f>IF(A55&lt;=10,$B$37,0)</f>
        <v/>
      </c>
      <c r="E55" s="68">
        <f>C55+D55</f>
        <v/>
      </c>
      <c r="F55" s="85">
        <f>F54*(1+$B$41)+E55</f>
        <v/>
      </c>
      <c r="G55" s="68">
        <f>G54+E55</f>
        <v/>
      </c>
      <c r="H55" s="83">
        <f>IF(F55&gt;=$B$9,"◄ accelerated payback",IF(G55&gt;=$B$9,"simple payback",""))</f>
        <v/>
      </c>
    </row>
    <row r="56">
      <c r="A56" s="55" t="n">
        <v>10</v>
      </c>
      <c r="B56" s="92">
        <f>$B$44+(A56-1)</f>
        <v/>
      </c>
      <c r="C56" s="68">
        <f>$B$34*(1+$B$42)^(A56-1)</f>
        <v/>
      </c>
      <c r="D56" s="68">
        <f>IF(A56&lt;=10,$B$37,0)</f>
        <v/>
      </c>
      <c r="E56" s="68">
        <f>C56+D56</f>
        <v/>
      </c>
      <c r="F56" s="85">
        <f>F55*(1+$B$41)+E56</f>
        <v/>
      </c>
      <c r="G56" s="68">
        <f>G55+E56</f>
        <v/>
      </c>
      <c r="H56" s="83">
        <f>IF(F56&gt;=$B$9,"◄ accelerated payback",IF(G56&gt;=$B$9,"simple payback",""))</f>
        <v/>
      </c>
    </row>
    <row r="57">
      <c r="A57" s="55" t="n">
        <v>11</v>
      </c>
      <c r="B57" s="92">
        <f>$B$44+(A57-1)</f>
        <v/>
      </c>
      <c r="C57" s="68">
        <f>$B$34*(1+$B$42)^(A57-1)</f>
        <v/>
      </c>
      <c r="D57" s="68">
        <f>IF(A57&lt;=10,$B$37,0)</f>
        <v/>
      </c>
      <c r="E57" s="68">
        <f>C57+D57</f>
        <v/>
      </c>
      <c r="F57" s="85">
        <f>F56*(1+$B$41)+E57</f>
        <v/>
      </c>
      <c r="G57" s="68">
        <f>G56+E57</f>
        <v/>
      </c>
      <c r="H57" s="83">
        <f>IF(F57&gt;=$B$9,"◄ accelerated payback",IF(G57&gt;=$B$9,"simple payback",""))</f>
        <v/>
      </c>
    </row>
    <row r="58">
      <c r="A58" s="55" t="n">
        <v>12</v>
      </c>
      <c r="B58" s="92">
        <f>$B$44+(A58-1)</f>
        <v/>
      </c>
      <c r="C58" s="68">
        <f>$B$34*(1+$B$42)^(A58-1)</f>
        <v/>
      </c>
      <c r="D58" s="68">
        <f>IF(A58&lt;=10,$B$37,0)</f>
        <v/>
      </c>
      <c r="E58" s="68">
        <f>C58+D58</f>
        <v/>
      </c>
      <c r="F58" s="85">
        <f>F57*(1+$B$41)+E58</f>
        <v/>
      </c>
      <c r="G58" s="68">
        <f>G57+E58</f>
        <v/>
      </c>
      <c r="H58" s="83">
        <f>IF(F58&gt;=$B$9,"◄ accelerated payback",IF(G58&gt;=$B$9,"simple payback",""))</f>
        <v/>
      </c>
    </row>
    <row r="59">
      <c r="A59" s="55" t="n">
        <v>13</v>
      </c>
      <c r="B59" s="92">
        <f>$B$44+(A59-1)</f>
        <v/>
      </c>
      <c r="C59" s="68">
        <f>$B$34*(1+$B$42)^(A59-1)</f>
        <v/>
      </c>
      <c r="D59" s="68">
        <f>IF(A59&lt;=10,$B$37,0)</f>
        <v/>
      </c>
      <c r="E59" s="68">
        <f>C59+D59</f>
        <v/>
      </c>
      <c r="F59" s="85">
        <f>F58*(1+$B$41)+E59</f>
        <v/>
      </c>
      <c r="G59" s="68">
        <f>G58+E59</f>
        <v/>
      </c>
      <c r="H59" s="83">
        <f>IF(F59&gt;=$B$9,"◄ accelerated payback",IF(G59&gt;=$B$9,"simple payback",""))</f>
        <v/>
      </c>
    </row>
    <row r="60">
      <c r="A60" s="55" t="n">
        <v>14</v>
      </c>
      <c r="B60" s="92">
        <f>$B$44+(A60-1)</f>
        <v/>
      </c>
      <c r="C60" s="68">
        <f>$B$34*(1+$B$42)^(A60-1)</f>
        <v/>
      </c>
      <c r="D60" s="68">
        <f>IF(A60&lt;=10,$B$37,0)</f>
        <v/>
      </c>
      <c r="E60" s="68">
        <f>C60+D60</f>
        <v/>
      </c>
      <c r="F60" s="85">
        <f>F59*(1+$B$41)+E60</f>
        <v/>
      </c>
      <c r="G60" s="68">
        <f>G59+E60</f>
        <v/>
      </c>
      <c r="H60" s="83">
        <f>IF(F60&gt;=$B$9,"◄ accelerated payback",IF(G60&gt;=$B$9,"simple payback",""))</f>
        <v/>
      </c>
    </row>
    <row r="61">
      <c r="A61" s="55" t="n">
        <v>15</v>
      </c>
      <c r="B61" s="92">
        <f>$B$44+(A61-1)</f>
        <v/>
      </c>
      <c r="C61" s="68">
        <f>$B$34*(1+$B$42)^(A61-1)</f>
        <v/>
      </c>
      <c r="D61" s="68">
        <f>IF(A61&lt;=10,$B$37,0)</f>
        <v/>
      </c>
      <c r="E61" s="68">
        <f>C61+D61</f>
        <v/>
      </c>
      <c r="F61" s="85">
        <f>F60*(1+$B$41)+E61</f>
        <v/>
      </c>
      <c r="G61" s="68">
        <f>G60+E61</f>
        <v/>
      </c>
      <c r="H61" s="83">
        <f>IF(F61&gt;=$B$9,"◄ accelerated payback",IF(G61&gt;=$B$9,"simple payback",""))</f>
        <v/>
      </c>
    </row>
    <row r="62">
      <c r="A62" s="55" t="n">
        <v>16</v>
      </c>
      <c r="B62" s="92">
        <f>$B$44+(A62-1)</f>
        <v/>
      </c>
      <c r="C62" s="68">
        <f>$B$34*(1+$B$42)^(A62-1)</f>
        <v/>
      </c>
      <c r="D62" s="68">
        <f>IF(A62&lt;=10,$B$37,0)</f>
        <v/>
      </c>
      <c r="E62" s="68">
        <f>C62+D62</f>
        <v/>
      </c>
      <c r="F62" s="85">
        <f>F61*(1+$B$41)+E62</f>
        <v/>
      </c>
      <c r="G62" s="68">
        <f>G61+E62</f>
        <v/>
      </c>
      <c r="H62" s="83">
        <f>IF(F62&gt;=$B$9,"◄ accelerated payback",IF(G62&gt;=$B$9,"simple payback",""))</f>
        <v/>
      </c>
    </row>
    <row r="63">
      <c r="A63" s="55" t="n">
        <v>17</v>
      </c>
      <c r="B63" s="92">
        <f>$B$44+(A63-1)</f>
        <v/>
      </c>
      <c r="C63" s="68">
        <f>$B$34*(1+$B$42)^(A63-1)</f>
        <v/>
      </c>
      <c r="D63" s="68">
        <f>IF(A63&lt;=10,$B$37,0)</f>
        <v/>
      </c>
      <c r="E63" s="68">
        <f>C63+D63</f>
        <v/>
      </c>
      <c r="F63" s="85">
        <f>F62*(1+$B$41)+E63</f>
        <v/>
      </c>
      <c r="G63" s="68">
        <f>G62+E63</f>
        <v/>
      </c>
      <c r="H63" s="83">
        <f>IF(F63&gt;=$B$9,"◄ accelerated payback",IF(G63&gt;=$B$9,"simple payback",""))</f>
        <v/>
      </c>
    </row>
    <row r="64">
      <c r="A64" s="55" t="n">
        <v>18</v>
      </c>
      <c r="B64" s="92">
        <f>$B$44+(A64-1)</f>
        <v/>
      </c>
      <c r="C64" s="68">
        <f>$B$34*(1+$B$42)^(A64-1)</f>
        <v/>
      </c>
      <c r="D64" s="68">
        <f>IF(A64&lt;=10,$B$37,0)</f>
        <v/>
      </c>
      <c r="E64" s="68">
        <f>C64+D64</f>
        <v/>
      </c>
      <c r="F64" s="85">
        <f>F63*(1+$B$41)+E64</f>
        <v/>
      </c>
      <c r="G64" s="68">
        <f>G63+E64</f>
        <v/>
      </c>
      <c r="H64" s="83">
        <f>IF(F64&gt;=$B$9,"◄ accelerated payback",IF(G64&gt;=$B$9,"simple payback",""))</f>
        <v/>
      </c>
    </row>
    <row r="65">
      <c r="A65" s="55" t="n">
        <v>19</v>
      </c>
      <c r="B65" s="92">
        <f>$B$44+(A65-1)</f>
        <v/>
      </c>
      <c r="C65" s="68">
        <f>$B$34*(1+$B$42)^(A65-1)</f>
        <v/>
      </c>
      <c r="D65" s="68">
        <f>IF(A65&lt;=10,$B$37,0)</f>
        <v/>
      </c>
      <c r="E65" s="68">
        <f>C65+D65</f>
        <v/>
      </c>
      <c r="F65" s="85">
        <f>F64*(1+$B$41)+E65</f>
        <v/>
      </c>
      <c r="G65" s="68">
        <f>G64+E65</f>
        <v/>
      </c>
      <c r="H65" s="83">
        <f>IF(F65&gt;=$B$9,"◄ accelerated payback",IF(G65&gt;=$B$9,"simple payback",""))</f>
        <v/>
      </c>
    </row>
    <row r="66">
      <c r="A66" s="55" t="n">
        <v>20</v>
      </c>
      <c r="B66" s="92">
        <f>$B$44+(A66-1)</f>
        <v/>
      </c>
      <c r="C66" s="68">
        <f>$B$34*(1+$B$42)^(A66-1)</f>
        <v/>
      </c>
      <c r="D66" s="68">
        <f>IF(A66&lt;=10,$B$37,0)</f>
        <v/>
      </c>
      <c r="E66" s="68">
        <f>C66+D66</f>
        <v/>
      </c>
      <c r="F66" s="85">
        <f>F65*(1+$B$41)+E66</f>
        <v/>
      </c>
      <c r="G66" s="68">
        <f>G65+E66</f>
        <v/>
      </c>
      <c r="H66" s="83">
        <f>IF(F66&gt;=$B$9,"◄ accelerated payback",IF(G66&gt;=$B$9,"simple payback",""))</f>
        <v/>
      </c>
    </row>
    <row r="67">
      <c r="A67" s="55" t="n">
        <v>21</v>
      </c>
      <c r="B67" s="92">
        <f>$B$44+(A67-1)</f>
        <v/>
      </c>
      <c r="C67" s="68">
        <f>$B$34*(1+$B$42)^(A67-1)</f>
        <v/>
      </c>
      <c r="D67" s="68">
        <f>IF(A67&lt;=10,$B$37,0)</f>
        <v/>
      </c>
      <c r="E67" s="68">
        <f>C67+D67</f>
        <v/>
      </c>
      <c r="F67" s="85">
        <f>F66*(1+$B$41)+E67</f>
        <v/>
      </c>
      <c r="G67" s="68">
        <f>G66+E67</f>
        <v/>
      </c>
      <c r="H67" s="83">
        <f>IF(F67&gt;=$B$9,"◄ accelerated payback",IF(G67&gt;=$B$9,"simple payback",""))</f>
        <v/>
      </c>
    </row>
    <row r="68">
      <c r="A68" s="55" t="n">
        <v>22</v>
      </c>
      <c r="B68" s="92">
        <f>$B$44+(A68-1)</f>
        <v/>
      </c>
      <c r="C68" s="68">
        <f>$B$34*(1+$B$42)^(A68-1)</f>
        <v/>
      </c>
      <c r="D68" s="68">
        <f>IF(A68&lt;=10,$B$37,0)</f>
        <v/>
      </c>
      <c r="E68" s="68">
        <f>C68+D68</f>
        <v/>
      </c>
      <c r="F68" s="85">
        <f>F67*(1+$B$41)+E68</f>
        <v/>
      </c>
      <c r="G68" s="68">
        <f>G67+E68</f>
        <v/>
      </c>
      <c r="H68" s="83">
        <f>IF(F68&gt;=$B$9,"◄ accelerated payback",IF(G68&gt;=$B$9,"simple payback",""))</f>
        <v/>
      </c>
    </row>
    <row r="69">
      <c r="A69" s="55" t="n">
        <v>23</v>
      </c>
      <c r="B69" s="92">
        <f>$B$44+(A69-1)</f>
        <v/>
      </c>
      <c r="C69" s="68">
        <f>$B$34*(1+$B$42)^(A69-1)</f>
        <v/>
      </c>
      <c r="D69" s="68">
        <f>IF(A69&lt;=10,$B$37,0)</f>
        <v/>
      </c>
      <c r="E69" s="68">
        <f>C69+D69</f>
        <v/>
      </c>
      <c r="F69" s="85">
        <f>F68*(1+$B$41)+E69</f>
        <v/>
      </c>
      <c r="G69" s="68">
        <f>G68+E69</f>
        <v/>
      </c>
      <c r="H69" s="83">
        <f>IF(F69&gt;=$B$9,"◄ accelerated payback",IF(G69&gt;=$B$9,"simple payback",""))</f>
        <v/>
      </c>
    </row>
    <row r="70">
      <c r="A70" s="55" t="n">
        <v>24</v>
      </c>
      <c r="B70" s="92">
        <f>$B$44+(A70-1)</f>
        <v/>
      </c>
      <c r="C70" s="68">
        <f>$B$34*(1+$B$42)^(A70-1)</f>
        <v/>
      </c>
      <c r="D70" s="68">
        <f>IF(A70&lt;=10,$B$37,0)</f>
        <v/>
      </c>
      <c r="E70" s="68">
        <f>C70+D70</f>
        <v/>
      </c>
      <c r="F70" s="85">
        <f>F69*(1+$B$41)+E70</f>
        <v/>
      </c>
      <c r="G70" s="68">
        <f>G69+E70</f>
        <v/>
      </c>
      <c r="H70" s="83">
        <f>IF(F70&gt;=$B$9,"◄ accelerated payback",IF(G70&gt;=$B$9,"simple payback",""))</f>
        <v/>
      </c>
    </row>
    <row r="71">
      <c r="A71" s="55" t="n">
        <v>25</v>
      </c>
      <c r="B71" s="92">
        <f>$B$44+(A71-1)</f>
        <v/>
      </c>
      <c r="C71" s="68">
        <f>$B$34*(1+$B$42)^(A71-1)</f>
        <v/>
      </c>
      <c r="D71" s="68">
        <f>IF(A71&lt;=10,$B$37,0)</f>
        <v/>
      </c>
      <c r="E71" s="68">
        <f>C71+D71</f>
        <v/>
      </c>
      <c r="F71" s="85">
        <f>F70*(1+$B$41)+E71</f>
        <v/>
      </c>
      <c r="G71" s="68">
        <f>G70+E71</f>
        <v/>
      </c>
      <c r="H71" s="83">
        <f>IF(F71&gt;=$B$9,"◄ accelerated payback",IF(G71&gt;=$B$9,"simple payback",""))</f>
        <v/>
      </c>
    </row>
    <row r="73">
      <c r="A73" s="63" t="inlineStr">
        <is>
          <t>Simple payback (year #):</t>
        </is>
      </c>
      <c r="C73" s="69">
        <f>IFERROR(INDEX(A47:A71,MATCH(TRUE,INDEX(G47:G71&gt;=$B$9,0),0)),"&gt;25")</f>
        <v/>
      </c>
    </row>
    <row r="74">
      <c r="A74" s="63" t="inlineStr">
        <is>
          <t>Accelerated payback (year #):</t>
        </is>
      </c>
      <c r="C74" s="69">
        <f>IFERROR(INDEX(A47:A71,MATCH(TRUE,INDEX(F47:F71&gt;=$B$9,0),0)),"&gt;25")</f>
        <v/>
      </c>
    </row>
    <row r="75">
      <c r="A75" s="63" t="inlineStr">
        <is>
          <t>Reinvested value at horizon:</t>
        </is>
      </c>
      <c r="C75" s="64">
        <f>INDEX(F47:F71,MATCH($B$43,A47:A71,0))</f>
        <v/>
      </c>
    </row>
    <row r="76">
      <c r="A76" s="63" t="inlineStr">
        <is>
          <t>Net gain (value − net capital):</t>
        </is>
      </c>
      <c r="C76" s="64">
        <f>C75-B9</f>
        <v/>
      </c>
    </row>
    <row r="78">
      <c r="A78" s="41"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10">
    <mergeCell ref="A12:H12"/>
    <mergeCell ref="C6:H6"/>
    <mergeCell ref="C32:H32"/>
    <mergeCell ref="C38:H38"/>
    <mergeCell ref="C41:H41"/>
    <mergeCell ref="C36:H36"/>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2" t="inlineStr">
        <is>
          <t>HSA Election Planner — November open enrollment</t>
        </is>
      </c>
    </row>
    <row r="2" ht="34" customHeight="1" s="39">
      <c r="A2" s="43" t="inlineStr">
        <is>
          <t>Turns your freed-up cash (solar + mobile + old FSA) into a concrete HSA election for the 2027 plan year. ORANGE = inputs. Educational planning, not tax advice.</t>
        </is>
      </c>
    </row>
    <row r="4">
      <c r="A4" s="44" t="inlineStr">
        <is>
          <t>① 2027 HSA LIMIT</t>
        </is>
      </c>
      <c r="B4" s="45" t="n"/>
      <c r="C4" s="45" t="n"/>
    </row>
    <row r="5">
      <c r="A5" t="inlineStr">
        <is>
          <t>Coverage type</t>
        </is>
      </c>
      <c r="B5" s="54" t="inlineStr">
        <is>
          <t>Family</t>
        </is>
      </c>
    </row>
    <row r="6">
      <c r="A6" t="inlineStr">
        <is>
          <t>2027 HSA limit (family)</t>
        </is>
      </c>
      <c r="B6" s="73" t="n">
        <v>9000</v>
      </c>
      <c r="C6" s="47" t="inlineStr">
        <is>
          <t>Self-only 2027 = $4,500. Family = $9,000.</t>
        </is>
      </c>
    </row>
    <row r="7">
      <c r="A7" t="inlineStr">
        <is>
          <t>Catch-up (age 55+, each)</t>
        </is>
      </c>
      <c r="B7" s="73" t="n">
        <v>0</v>
      </c>
      <c r="C7" s="47" t="inlineStr">
        <is>
          <t>You're 45 — the +$1,000 each starts in 2036.</t>
        </is>
      </c>
    </row>
    <row r="8">
      <c r="A8" t="inlineStr">
        <is>
          <t>Employer HSA seed/contribution</t>
        </is>
      </c>
      <c r="B8" s="50" t="n">
        <v>0</v>
      </c>
      <c r="C8" s="47" t="inlineStr">
        <is>
          <t>If MathWorks seeds the HSA, it counts against the limit — enter it.</t>
        </is>
      </c>
    </row>
    <row r="9">
      <c r="A9" s="63" t="inlineStr">
        <is>
          <t>Your max employee election</t>
        </is>
      </c>
      <c r="B9" s="64">
        <f>B6+B7-B8</f>
        <v/>
      </c>
    </row>
    <row r="10">
      <c r="A10" t="inlineStr">
        <is>
          <t>Pay periods / year</t>
        </is>
      </c>
      <c r="B10" s="49" t="n">
        <v>26</v>
      </c>
      <c r="C10" s="47" t="inlineStr">
        <is>
          <t>MathWorks is biweekly = 26.</t>
        </is>
      </c>
    </row>
    <row r="11">
      <c r="A11" t="inlineStr">
        <is>
          <t>Max per paycheck</t>
        </is>
      </c>
      <c r="B11" s="73">
        <f>B9/B10</f>
        <v/>
      </c>
    </row>
    <row r="13">
      <c r="A13" s="44" t="inlineStr">
        <is>
          <t>② FREED-UP CASH TO REDIRECT  (annual)</t>
        </is>
      </c>
      <c r="B13" s="45" t="n"/>
      <c r="C13" s="45" t="n"/>
    </row>
    <row r="14">
      <c r="A14" t="inlineStr">
        <is>
          <t>Solar avoided cost (from Solar tab)</t>
        </is>
      </c>
      <c r="B14" s="73">
        <f>'Solar Reinvestment'!B34</f>
        <v/>
      </c>
    </row>
    <row r="15">
      <c r="A15" t="inlineStr">
        <is>
          <t>Mobile / phone savings</t>
        </is>
      </c>
      <c r="B15" s="50" t="n">
        <v>600</v>
      </c>
      <c r="C15" s="47" t="inlineStr">
        <is>
          <t>From switching to the cheaper carrier.</t>
        </is>
      </c>
    </row>
    <row r="16">
      <c r="A16" t="inlineStr">
        <is>
          <t>Former FSA Health Care contribution</t>
        </is>
      </c>
      <c r="B16" s="50" t="n">
        <v>2500</v>
      </c>
      <c r="C16" s="47" t="inlineStr">
        <is>
          <t>What you were putting in the FSA (~$96/pay × 26). This moves to the HSA.</t>
        </is>
      </c>
    </row>
    <row r="17">
      <c r="A17" t="inlineStr">
        <is>
          <t>Other freed cash</t>
        </is>
      </c>
      <c r="B17" s="50" t="n">
        <v>0</v>
      </c>
    </row>
    <row r="18">
      <c r="A18" s="63" t="inlineStr">
        <is>
          <t>TOTAL new annual money</t>
        </is>
      </c>
      <c r="B18" s="64">
        <f>SUM(B14:B17)</f>
        <v/>
      </c>
    </row>
    <row r="20">
      <c r="A20" s="44" t="inlineStr">
        <is>
          <t>③ ELECTION PLAN</t>
        </is>
      </c>
      <c r="B20" s="45" t="n"/>
      <c r="C20" s="45" t="n"/>
    </row>
    <row r="21">
      <c r="A21" t="inlineStr">
        <is>
          <t>Suggested election (fund HSA from freed cash)</t>
        </is>
      </c>
      <c r="B21" s="73">
        <f>MIN(B9,B18)</f>
        <v/>
      </c>
      <c r="C21" s="47" t="inlineStr">
        <is>
          <t>Fund the more tax-efficient HSA first, up to the limit.</t>
        </is>
      </c>
    </row>
    <row r="22">
      <c r="A22" t="inlineStr">
        <is>
          <t>Your chosen HSA election</t>
        </is>
      </c>
      <c r="B22" s="50">
        <f>B21</f>
        <v/>
      </c>
      <c r="C22" s="47" t="inlineStr">
        <is>
          <t>Override with the number you actually elect.</t>
        </is>
      </c>
    </row>
    <row r="23">
      <c r="A23" s="63" t="inlineStr">
        <is>
          <t>→ Per paycheck</t>
        </is>
      </c>
      <c r="B23" s="64">
        <f>B22/B10</f>
        <v/>
      </c>
    </row>
    <row r="24">
      <c r="A24" t="inlineStr">
        <is>
          <t>→ % of family limit used</t>
        </is>
      </c>
      <c r="B24" s="93">
        <f>B22/B6</f>
        <v/>
      </c>
    </row>
    <row r="25">
      <c r="A25" t="inlineStr">
        <is>
          <t>Remaining freed cash → IRAs</t>
        </is>
      </c>
      <c r="B25" s="73">
        <f>MAX(0,B18-B22)</f>
        <v/>
      </c>
    </row>
    <row r="26">
      <c r="A26" t="inlineStr">
        <is>
          <t>Extra needed to hit $9,000 max</t>
        </is>
      </c>
      <c r="B26" s="73">
        <f>MAX(0,B9-B18)</f>
        <v/>
      </c>
      <c r="C26" s="47" t="inlineStr">
        <is>
          <t>Shortfall between freed cash and a full max — pull from elsewhere if you want to top out.</t>
        </is>
      </c>
    </row>
    <row r="28">
      <c r="A28" s="44" t="inlineStr">
        <is>
          <t>④ DECISION NOTES  (from our planning)</t>
        </is>
      </c>
      <c r="B28" s="45" t="n"/>
      <c r="C28" s="45" t="n"/>
    </row>
    <row r="29" ht="28" customHeight="1" s="39">
      <c r="A29" s="41" t="inlineStr">
        <is>
          <t>• HSA is the most tax-efficient bucket (triple advantage + the payroll-tax break) — fund it first from freed cash, then overflow to IRAs.</t>
        </is>
      </c>
    </row>
    <row r="30" ht="28" customHeight="1" s="39">
      <c r="A30" s="41" t="inlineStr">
        <is>
          <t>• Orthodontia: pay out of pocket, save every receipt, let the HSA stay invested and reimburse yourself later (the 'shoebox' growth play).</t>
        </is>
      </c>
    </row>
    <row r="31" ht="28" customHeight="1" s="39">
      <c r="A31" s="41" t="inlineStr">
        <is>
          <t>• Open + fund the HSA (even $1) BEFORE the first ortho expense — expenses incurred before the account exists can never be reimbursed.</t>
        </is>
      </c>
    </row>
    <row r="32" ht="28" customHeight="1" s="39">
      <c r="A32" s="41" t="inlineStr">
        <is>
          <t>• Confirm your 2026 FSA has no carryover/grace period bleeding into 2027 — it can block HSA eligibility early in the year. Consider a limited-purpose (dental/vision) FSA.</t>
        </is>
      </c>
    </row>
    <row r="33" ht="28" customHeight="1" s="39">
      <c r="A33" s="41"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C57"/>
  <sheetViews>
    <sheetView workbookViewId="0">
      <selection activeCell="A1" sqref="A1"/>
    </sheetView>
  </sheetViews>
  <sheetFormatPr baseColWidth="8" defaultRowHeight="15"/>
  <cols>
    <col width="34" customWidth="1" style="39" min="1" max="1"/>
    <col width="14" customWidth="1" style="39" min="2" max="2"/>
    <col width="46" customWidth="1" style="39" min="3" max="3"/>
  </cols>
  <sheetData>
    <row r="1">
      <c r="A1" s="42" t="inlineStr">
        <is>
          <t>Monthly Entry — one place to update everything</t>
        </is>
      </c>
    </row>
    <row r="2" ht="44" customHeight="1" s="39">
      <c r="A2" s="43" t="inlineStr">
        <is>
          <t>Pick the month, fill in what you have (blanks are skipped), then run 📊 Family Finances → Post Monthly Entry. Values fan out to Balances, Solar, Amazon Reconciliation and Comp &amp; Benefits. You can also fill this from your phone via the linked Google Form.</t>
        </is>
      </c>
    </row>
    <row r="4">
      <c r="A4" s="63" t="inlineStr">
        <is>
          <t>Month to post</t>
        </is>
      </c>
      <c r="B4" s="49" t="inlineStr">
        <is>
          <t>Sep</t>
        </is>
      </c>
      <c r="C4" s="47" t="inlineStr">
        <is>
          <t>Choose the month these figures belong to.</t>
        </is>
      </c>
    </row>
    <row r="5">
      <c r="A5" t="inlineStr">
        <is>
          <t>Data as of (date)</t>
        </is>
      </c>
      <c r="B5" s="94" t="n"/>
      <c r="C5" s="47" t="inlineStr">
        <is>
          <t>Optional — for your records.</t>
        </is>
      </c>
    </row>
    <row r="6">
      <c r="A6" s="44" t="inlineStr">
        <is>
          <t>① ACCOUNT BALANCES  (month-end)</t>
        </is>
      </c>
      <c r="B6" s="45" t="n"/>
      <c r="C6" s="45" t="n"/>
    </row>
    <row r="7">
      <c r="A7" t="inlineStr">
        <is>
          <t>Capital One Checking</t>
        </is>
      </c>
      <c r="B7" s="50" t="n"/>
      <c r="C7" s="47" t="inlineStr">
        <is>
          <t>→ Balances</t>
        </is>
      </c>
    </row>
    <row r="8">
      <c r="A8" t="inlineStr">
        <is>
          <t>Capital One Savings</t>
        </is>
      </c>
      <c r="B8" s="50" t="n"/>
      <c r="C8" s="47" t="inlineStr"/>
    </row>
    <row r="9">
      <c r="A9" t="inlineStr">
        <is>
          <t>Venmo float</t>
        </is>
      </c>
      <c r="B9" s="50" t="n"/>
      <c r="C9" s="47" t="inlineStr"/>
    </row>
    <row r="10">
      <c r="A10" t="inlineStr">
        <is>
          <t>Fidelity Money Market</t>
        </is>
      </c>
      <c r="B10" s="50" t="n"/>
      <c r="C10" s="47" t="inlineStr"/>
    </row>
    <row r="11">
      <c r="A11" t="inlineStr">
        <is>
          <t>Schwab investment</t>
        </is>
      </c>
      <c r="B11" s="50" t="n"/>
      <c r="C11" s="47" t="inlineStr"/>
    </row>
    <row r="12">
      <c r="A12" t="inlineStr">
        <is>
          <t>529</t>
        </is>
      </c>
      <c r="B12" s="50" t="n"/>
      <c r="C12" s="47" t="inlineStr"/>
    </row>
    <row r="13">
      <c r="A13" t="inlineStr">
        <is>
          <t>FSA Dep Care balance</t>
        </is>
      </c>
      <c r="B13" s="50" t="n"/>
      <c r="C13" s="47" t="inlineStr"/>
    </row>
    <row r="14">
      <c r="A14" t="inlineStr">
        <is>
          <t>FSA Health Care balance</t>
        </is>
      </c>
      <c r="B14" s="50" t="n"/>
      <c r="C14" s="47" t="inlineStr"/>
    </row>
    <row r="15">
      <c r="A15" t="inlineStr">
        <is>
          <t>Matt 401k</t>
        </is>
      </c>
      <c r="B15" s="50" t="n"/>
      <c r="C15" s="47" t="inlineStr"/>
    </row>
    <row r="16">
      <c r="A16" t="inlineStr">
        <is>
          <t>Sue 403b</t>
        </is>
      </c>
      <c r="B16" s="50" t="n"/>
      <c r="C16" s="47" t="inlineStr"/>
    </row>
    <row r="17">
      <c r="A17" t="inlineStr">
        <is>
          <t>Sue pension (est.)</t>
        </is>
      </c>
      <c r="B17" s="50" t="n"/>
      <c r="C17" s="47" t="inlineStr"/>
    </row>
    <row r="18">
      <c r="A18" t="inlineStr">
        <is>
          <t>Other</t>
        </is>
      </c>
      <c r="B18" s="50" t="n"/>
      <c r="C18" s="47" t="inlineStr"/>
    </row>
    <row r="20">
      <c r="A20" s="44" t="inlineStr">
        <is>
          <t>② SOLAR — ENERGY  (Enphase, kWh)</t>
        </is>
      </c>
      <c r="B20" s="45" t="n"/>
      <c r="C20" s="45" t="n"/>
    </row>
    <row r="21">
      <c r="A21" t="inlineStr">
        <is>
          <t>Produced (kWh)</t>
        </is>
      </c>
      <c r="B21" s="91" t="n"/>
      <c r="C21" s="47" t="inlineStr">
        <is>
          <t>→ Solar Reinvestment log</t>
        </is>
      </c>
    </row>
    <row r="22">
      <c r="A22" t="inlineStr">
        <is>
          <t>Consumed (kWh)</t>
        </is>
      </c>
      <c r="B22" s="91" t="n"/>
      <c r="C22" s="47" t="inlineStr"/>
    </row>
    <row r="23">
      <c r="A23" t="inlineStr">
        <is>
          <t>Imported (kWh)</t>
        </is>
      </c>
      <c r="B23" s="91" t="n"/>
      <c r="C23" s="47" t="inlineStr"/>
    </row>
    <row r="24">
      <c r="A24" t="inlineStr">
        <is>
          <t>Exported (kWh)</t>
        </is>
      </c>
      <c r="B24" s="91" t="n"/>
      <c r="C24" s="47" t="inlineStr"/>
    </row>
    <row r="25">
      <c r="A25" s="44" t="inlineStr">
        <is>
          <t>③ SOLAR — ELECTRIC BILL</t>
        </is>
      </c>
      <c r="B25" s="45" t="n"/>
      <c r="C25" s="45" t="n"/>
    </row>
    <row r="26">
      <c r="A26" t="inlineStr">
        <is>
          <t>Baseline electric (would-have-paid)</t>
        </is>
      </c>
      <c r="B26" s="50" t="n"/>
      <c r="C26" s="47" t="inlineStr">
        <is>
          <t>→ Solar ROI row 9</t>
        </is>
      </c>
    </row>
    <row r="27">
      <c r="A27" t="inlineStr">
        <is>
          <t>Actual electric bill</t>
        </is>
      </c>
      <c r="B27" s="50" t="n"/>
      <c r="C27" s="47" t="inlineStr">
        <is>
          <t>→ Solar ROI row 10</t>
        </is>
      </c>
    </row>
    <row r="29">
      <c r="A29" s="44" t="inlineStr">
        <is>
          <t>④ AMAZON — split this month's total into buckets</t>
        </is>
      </c>
      <c r="B29" s="45" t="n"/>
      <c r="C29" s="45" t="n"/>
    </row>
    <row r="30">
      <c r="A30" t="inlineStr">
        <is>
          <t>Amazon total to split (auto)</t>
        </is>
      </c>
      <c r="B30" s="73">
        <f>IFERROR(INDEX('CC Detail'!B14:M14,MATCH($B$4,{"Jan","Feb","Mar","Apr","May","Jun","Jul","Aug","Sep","Oct","Nov","Dec"},0)),"")</f>
        <v/>
      </c>
      <c r="C30" s="47" t="inlineStr">
        <is>
          <t>Pulled from CC Detail for the chosen month — split it below.</t>
        </is>
      </c>
    </row>
    <row r="31">
      <c r="A31" t="inlineStr">
        <is>
          <t>Groceries</t>
        </is>
      </c>
      <c r="B31" s="50" t="n"/>
      <c r="C31" s="47" t="inlineStr">
        <is>
          <t>→ Amazon Reconciliation</t>
        </is>
      </c>
    </row>
    <row r="32">
      <c r="A32" t="inlineStr">
        <is>
          <t>Kids / Activities</t>
        </is>
      </c>
      <c r="B32" s="50" t="n"/>
      <c r="C32" s="47" t="inlineStr"/>
    </row>
    <row r="33">
      <c r="A33" t="inlineStr">
        <is>
          <t>Personal Care</t>
        </is>
      </c>
      <c r="B33" s="50" t="n"/>
      <c r="C33" s="47" t="inlineStr"/>
    </row>
    <row r="34">
      <c r="A34" t="inlineStr">
        <is>
          <t>Pharmacy / Health</t>
        </is>
      </c>
      <c r="B34" s="50" t="n"/>
      <c r="C34" s="47" t="inlineStr"/>
    </row>
    <row r="35">
      <c r="A35" t="inlineStr">
        <is>
          <t>Home / Hardware</t>
        </is>
      </c>
      <c r="B35" s="50" t="n"/>
      <c r="C35" s="47" t="inlineStr"/>
    </row>
    <row r="36">
      <c r="A36" t="inlineStr">
        <is>
          <t>Subscriptions</t>
        </is>
      </c>
      <c r="B36" s="50" t="n"/>
      <c r="C36" s="47" t="inlineStr"/>
    </row>
    <row r="37">
      <c r="A37" t="inlineStr">
        <is>
          <t>Other / gifts</t>
        </is>
      </c>
      <c r="B37" s="50" t="n"/>
      <c r="C37" s="47" t="inlineStr"/>
    </row>
    <row r="38">
      <c r="A38" t="inlineStr">
        <is>
          <t>Split check (should match total)</t>
        </is>
      </c>
      <c r="B38" s="73">
        <f>SUM(B31:B37)</f>
        <v/>
      </c>
      <c r="C38" s="47" t="inlineStr">
        <is>
          <t>Compare to Amazon total above.</t>
        </is>
      </c>
    </row>
    <row r="40">
      <c r="A40" s="44" t="inlineStr">
        <is>
          <t>⑤ COMP &amp; BENEFITS  (YTD, from paystub)</t>
        </is>
      </c>
      <c r="B40" s="45" t="n"/>
      <c r="C40" s="45" t="n"/>
    </row>
    <row r="41">
      <c r="A41" t="inlineStr">
        <is>
          <t>Matt gross earnings YTD</t>
        </is>
      </c>
      <c r="B41" s="50" t="n"/>
      <c r="C41" s="47" t="inlineStr">
        <is>
          <t>→ Comp &amp; Benefits</t>
        </is>
      </c>
    </row>
    <row r="42">
      <c r="A42" t="inlineStr">
        <is>
          <t>Matt 401k contribution YTD</t>
        </is>
      </c>
      <c r="B42" s="50" t="n"/>
      <c r="C42" s="47" t="inlineStr"/>
    </row>
    <row r="43">
      <c r="A43" t="inlineStr">
        <is>
          <t>Matt 401k match YTD</t>
        </is>
      </c>
      <c r="B43" s="50" t="n"/>
      <c r="C43" s="47" t="inlineStr"/>
    </row>
    <row r="44">
      <c r="A44" t="inlineStr">
        <is>
          <t>FSA Dep Care YTD</t>
        </is>
      </c>
      <c r="B44" s="50" t="n"/>
      <c r="C44" s="47" t="inlineStr"/>
    </row>
    <row r="45">
      <c r="A45" t="inlineStr">
        <is>
          <t>FSA Health Care YTD</t>
        </is>
      </c>
      <c r="B45" s="50" t="n"/>
      <c r="C45" s="47" t="inlineStr"/>
    </row>
    <row r="46">
      <c r="A46" t="inlineStr">
        <is>
          <t>Tuition reimbursement YTD</t>
        </is>
      </c>
      <c r="B46" s="50" t="n"/>
      <c r="C46" s="47" t="inlineStr"/>
    </row>
    <row r="47">
      <c r="A47" t="inlineStr">
        <is>
          <t>Stakeholder earnings YTD</t>
        </is>
      </c>
      <c r="B47" s="50" t="n"/>
      <c r="C47" s="47" t="inlineStr"/>
    </row>
    <row r="48">
      <c r="A48" t="inlineStr">
        <is>
          <t>Sue 403b YTD</t>
        </is>
      </c>
      <c r="B48" s="50" t="n"/>
      <c r="C48" s="47" t="inlineStr"/>
    </row>
    <row r="49">
      <c r="A49" t="inlineStr">
        <is>
          <t>529 contributions YTD</t>
        </is>
      </c>
      <c r="B49" s="50" t="n"/>
      <c r="C49" s="47" t="inlineStr"/>
    </row>
    <row r="51">
      <c r="A51" s="44" t="inlineStr">
        <is>
          <t>⑥ DISCRETIONARY SPENT  (this month)</t>
        </is>
      </c>
      <c r="B51" s="45" t="n"/>
      <c r="C51" s="45" t="n"/>
    </row>
    <row r="52">
      <c r="A52" t="inlineStr">
        <is>
          <t>Matt discretionary spent</t>
        </is>
      </c>
      <c r="B52" s="50" t="n"/>
      <c r="C52" s="47" t="inlineStr">
        <is>
          <t>→ Spending Guardrail</t>
        </is>
      </c>
    </row>
    <row r="53">
      <c r="A53" t="inlineStr">
        <is>
          <t>Sue discretionary spent</t>
        </is>
      </c>
      <c r="B53" s="50" t="n"/>
      <c r="C53" s="47" t="inlineStr"/>
    </row>
    <row r="54">
      <c r="A54" t="inlineStr">
        <is>
          <t>Household discretionary spent</t>
        </is>
      </c>
      <c r="B54" s="50" t="n"/>
      <c r="C54" s="47" t="inlineStr"/>
    </row>
    <row r="56">
      <c r="A56" s="41" t="inlineStr">
        <is>
          <t>After posting, blank the input cells for next month (or use the Form). The script only writes fields you filled, into the month you chose above.</t>
        </is>
      </c>
    </row>
    <row r="57"/>
  </sheetData>
  <mergeCells count="2">
    <mergeCell ref="A56:C57"/>
    <mergeCell ref="A2:C2"/>
  </mergeCells>
  <dataValidations count="1">
    <dataValidation sqref="B4" showDropDown="0" showInputMessage="0" showErrorMessage="0" allowBlank="0" type="list">
      <formula1>"Jan,Feb,Mar,Apr,May,Jun,Jul,Aug,Sep,Oct,Nov,Dec"</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N43"/>
  <sheetViews>
    <sheetView workbookViewId="0">
      <selection activeCell="A1" sqref="A1"/>
    </sheetView>
  </sheetViews>
  <sheetFormatPr baseColWidth="8" defaultRowHeight="15"/>
  <cols>
    <col width="30" customWidth="1" style="39" min="1" max="1"/>
    <col width="8" customWidth="1" style="39" min="2" max="2"/>
    <col width="8" customWidth="1" style="39" min="3" max="3"/>
    <col width="8" customWidth="1" style="39" min="4" max="4"/>
    <col width="8" customWidth="1" style="39" min="5" max="5"/>
    <col width="8" customWidth="1" style="39" min="6" max="6"/>
    <col width="8" customWidth="1" style="39" min="7" max="7"/>
    <col width="8" customWidth="1" style="39" min="8" max="8"/>
    <col width="8" customWidth="1" style="39" min="9" max="9"/>
    <col width="8" customWidth="1" style="39" min="10" max="10"/>
    <col width="8" customWidth="1" style="39" min="11" max="11"/>
    <col width="8" customWidth="1" style="39" min="12" max="12"/>
    <col width="8" customWidth="1" style="39" min="13" max="13"/>
    <col width="10" customWidth="1" style="39" min="14" max="14"/>
  </cols>
  <sheetData>
    <row r="1">
      <c r="A1" s="42" t="inlineStr">
        <is>
          <t>Discretionary Spending Guardrail</t>
        </is>
      </c>
    </row>
    <row r="2" ht="44" customHeight="1" s="39">
      <c r="A2" s="43" t="inlineStr">
        <is>
          <t>Three lanes — Matt, Sue, Household — for dinners, drinks, coffee, entertainment, convenience &amp; vices. Unused budget ROLLS OVER, so a high 'available' balance = green light to splurge; a negative one = pause. ORANGE = inputs (actuals arrive via Monthly Entry). Educational tool, not advice.</t>
        </is>
      </c>
    </row>
    <row r="4">
      <c r="A4" s="44" t="inlineStr">
        <is>
          <t>① BUDGET CONFIG  (per month)</t>
        </is>
      </c>
      <c r="B4" s="45" t="n"/>
      <c r="C4" s="45" t="n"/>
      <c r="D4" s="45" t="n"/>
      <c r="E4" s="45" t="n"/>
      <c r="F4" s="45" t="n"/>
      <c r="G4" s="45" t="n"/>
      <c r="H4" s="45" t="n"/>
      <c r="I4" s="45" t="n"/>
      <c r="J4" s="45" t="n"/>
      <c r="K4" s="45" t="n"/>
      <c r="L4" s="45" t="n"/>
      <c r="M4" s="45" t="n"/>
      <c r="N4" s="45" t="n"/>
    </row>
    <row r="5">
      <c r="A5" t="inlineStr">
        <is>
          <t>Matt monthly budget</t>
        </is>
      </c>
      <c r="B5" s="50" t="n">
        <v>200</v>
      </c>
    </row>
    <row r="6">
      <c r="A6" t="inlineStr">
        <is>
          <t>Sue monthly budget</t>
        </is>
      </c>
      <c r="B6" s="50" t="n">
        <v>200</v>
      </c>
    </row>
    <row r="7">
      <c r="A7" t="inlineStr">
        <is>
          <t>Household monthly budget</t>
        </is>
      </c>
      <c r="B7" s="50" t="n">
        <v>300</v>
      </c>
      <c r="C7" s="47" t="inlineStr">
        <is>
          <t>Shared dinners/entertainment together — set to taste.</t>
        </is>
      </c>
    </row>
    <row r="8">
      <c r="A8" s="63" t="inlineStr">
        <is>
          <t>Combined monthly budget</t>
        </is>
      </c>
      <c r="B8" s="95">
        <f>B5+B6+B7</f>
        <v/>
      </c>
    </row>
    <row r="9">
      <c r="A9" t="inlineStr">
        <is>
          <t>Splurge-room threshold ($)</t>
        </is>
      </c>
      <c r="B9" s="50" t="n">
        <v>150</v>
      </c>
      <c r="C9" s="47" t="inlineStr">
        <is>
          <t>When a lane's rollover balance clears this, it's green to splurge.</t>
        </is>
      </c>
    </row>
    <row r="10">
      <c r="A10" t="inlineStr">
        <is>
          <t>Reporting month</t>
        </is>
      </c>
      <c r="B10" s="49" t="inlineStr">
        <is>
          <t>Sep</t>
        </is>
      </c>
      <c r="C10" s="47" t="inlineStr">
        <is>
          <t>Drives the standings panel below.</t>
        </is>
      </c>
    </row>
    <row r="12">
      <c r="A12" s="44" t="inlineStr">
        <is>
          <t>② WHERE YOU STAND  (reporting month)</t>
        </is>
      </c>
      <c r="B12" s="45" t="n"/>
      <c r="C12" s="45" t="n"/>
      <c r="D12" s="45" t="n"/>
      <c r="E12" s="45" t="n"/>
      <c r="F12" s="45" t="n"/>
      <c r="G12" s="45" t="n"/>
      <c r="H12" s="45" t="n"/>
      <c r="I12" s="45" t="n"/>
      <c r="J12" s="45" t="n"/>
      <c r="K12" s="45" t="n"/>
      <c r="L12" s="45" t="n"/>
      <c r="M12" s="45" t="n"/>
      <c r="N12" s="45" t="n"/>
    </row>
    <row r="13">
      <c r="A13" s="53" t="inlineStr">
        <is>
          <t>Lane</t>
        </is>
      </c>
      <c r="B13" s="53" t="inlineStr">
        <is>
          <t>Budget</t>
        </is>
      </c>
      <c r="C13" s="53" t="inlineStr">
        <is>
          <t>Spent (mo)</t>
        </is>
      </c>
      <c r="D13" s="53" t="inlineStr">
        <is>
          <t>Rollover avail.</t>
        </is>
      </c>
      <c r="E13" s="53" t="inlineStr">
        <is>
          <t>Verdict</t>
        </is>
      </c>
    </row>
    <row r="14">
      <c r="A14" s="83" t="inlineStr">
        <is>
          <t>Matt</t>
        </is>
      </c>
      <c r="B14" s="68">
        <f>B5</f>
        <v/>
      </c>
      <c r="C14" s="68">
        <f>INDEX(B22:M22,MATCH($B$10,{"Jan","Feb","Mar","Apr","May","Jun","Jul","Aug","Sep","Oct","Nov","Dec"},0))</f>
        <v/>
      </c>
      <c r="D14" s="82">
        <f>INDEX(B23:M23,MATCH($B$10,{"Jan","Feb","Mar","Apr","May","Jun","Jul","Aug","Sep","Oct","Nov","Dec"},0))</f>
        <v/>
      </c>
      <c r="E14" s="83">
        <f>IF(D14="","",IF(D14&lt;0,"🔴 over — pause",IF(D14&gt;=$B$9,"🟢 splurge OK","🟡 on track")))</f>
        <v/>
      </c>
    </row>
    <row r="15">
      <c r="A15" s="83" t="inlineStr">
        <is>
          <t>Sue</t>
        </is>
      </c>
      <c r="B15" s="68">
        <f>B6</f>
        <v/>
      </c>
      <c r="C15" s="68">
        <f>INDEX(B25:M25,MATCH($B$10,{"Jan","Feb","Mar","Apr","May","Jun","Jul","Aug","Sep","Oct","Nov","Dec"},0))</f>
        <v/>
      </c>
      <c r="D15" s="82">
        <f>INDEX(B26:M26,MATCH($B$10,{"Jan","Feb","Mar","Apr","May","Jun","Jul","Aug","Sep","Oct","Nov","Dec"},0))</f>
        <v/>
      </c>
      <c r="E15" s="83">
        <f>IF(D15="","",IF(D15&lt;0,"🔴 over — pause",IF(D15&gt;=$B$9,"🟢 splurge OK","🟡 on track")))</f>
        <v/>
      </c>
    </row>
    <row r="16">
      <c r="A16" s="83" t="inlineStr">
        <is>
          <t>Household</t>
        </is>
      </c>
      <c r="B16" s="68">
        <f>B7</f>
        <v/>
      </c>
      <c r="C16" s="68">
        <f>INDEX(B28:M28,MATCH($B$10,{"Jan","Feb","Mar","Apr","May","Jun","Jul","Aug","Sep","Oct","Nov","Dec"},0))</f>
        <v/>
      </c>
      <c r="D16" s="82">
        <f>INDEX(B29:M29,MATCH($B$10,{"Jan","Feb","Mar","Apr","May","Jun","Jul","Aug","Sep","Oct","Nov","Dec"},0))</f>
        <v/>
      </c>
      <c r="E16" s="83">
        <f>IF(D16="","",IF(D16&lt;0,"🔴 over — pause",IF(D16&gt;=$B$9,"🟢 splurge OK","🟡 on track")))</f>
        <v/>
      </c>
    </row>
    <row r="17">
      <c r="A17" s="80" t="inlineStr">
        <is>
          <t>Combined</t>
        </is>
      </c>
      <c r="B17" s="68">
        <f>B8</f>
        <v/>
      </c>
      <c r="C17" s="68">
        <f>INDEX(B30:M30,MATCH($B$10,{"Jan","Feb","Mar","Apr","May","Jun","Jul","Aug","Sep","Oct","Nov","Dec"},0))</f>
        <v/>
      </c>
      <c r="D17" s="82">
        <f>INDEX(B32:M32,MATCH($B$10,{"Jan","Feb","Mar","Apr","May","Jun","Jul","Aug","Sep","Oct","Nov","Dec"},0))</f>
        <v/>
      </c>
      <c r="E17" s="83">
        <f>IF(D17="","",IF(D17&lt;0,"🔴 over — pause",IF(D17&gt;=$B$9,"🟢 splurge OK","🟡 on track")))</f>
        <v/>
      </c>
    </row>
    <row r="19">
      <c r="A19" s="44" t="inlineStr">
        <is>
          <t>③ MONTHLY TRACKER  (rollover carries forward)</t>
        </is>
      </c>
      <c r="B19" s="45" t="n"/>
      <c r="C19" s="45" t="n"/>
      <c r="D19" s="45" t="n"/>
      <c r="E19" s="45" t="n"/>
      <c r="F19" s="45" t="n"/>
      <c r="G19" s="45" t="n"/>
      <c r="H19" s="45" t="n"/>
      <c r="I19" s="45" t="n"/>
      <c r="J19" s="45" t="n"/>
      <c r="K19" s="45" t="n"/>
      <c r="L19" s="45" t="n"/>
      <c r="M19" s="45" t="n"/>
      <c r="N19" s="45" t="n"/>
    </row>
    <row r="20">
      <c r="A20" s="96" t="inlineStr"/>
      <c r="B20" s="53" t="inlineStr">
        <is>
          <t>Jan</t>
        </is>
      </c>
      <c r="C20" s="53" t="inlineStr">
        <is>
          <t>Feb</t>
        </is>
      </c>
      <c r="D20" s="53" t="inlineStr">
        <is>
          <t>Mar</t>
        </is>
      </c>
      <c r="E20" s="53" t="inlineStr">
        <is>
          <t>Apr</t>
        </is>
      </c>
      <c r="F20" s="53" t="inlineStr">
        <is>
          <t>May</t>
        </is>
      </c>
      <c r="G20" s="53" t="inlineStr">
        <is>
          <t>Jun</t>
        </is>
      </c>
      <c r="H20" s="53" t="inlineStr">
        <is>
          <t>Jul</t>
        </is>
      </c>
      <c r="I20" s="53" t="inlineStr">
        <is>
          <t>Aug</t>
        </is>
      </c>
      <c r="J20" s="53" t="inlineStr">
        <is>
          <t>Sep</t>
        </is>
      </c>
      <c r="K20" s="53" t="inlineStr">
        <is>
          <t>Oct</t>
        </is>
      </c>
      <c r="L20" s="53" t="inlineStr">
        <is>
          <t>Nov</t>
        </is>
      </c>
      <c r="M20" s="53" t="inlineStr">
        <is>
          <t>Dec</t>
        </is>
      </c>
      <c r="N20" s="53" t="inlineStr">
        <is>
          <t>YTD</t>
        </is>
      </c>
    </row>
    <row r="21">
      <c r="A21" s="83" t="inlineStr">
        <is>
          <t>Matt — Budget</t>
        </is>
      </c>
      <c r="B21" s="68">
        <f>$B$5</f>
        <v/>
      </c>
      <c r="C21" s="68">
        <f>$B$5</f>
        <v/>
      </c>
      <c r="D21" s="68">
        <f>$B$5</f>
        <v/>
      </c>
      <c r="E21" s="68">
        <f>$B$5</f>
        <v/>
      </c>
      <c r="F21" s="68">
        <f>$B$5</f>
        <v/>
      </c>
      <c r="G21" s="68">
        <f>$B$5</f>
        <v/>
      </c>
      <c r="H21" s="68">
        <f>$B$5</f>
        <v/>
      </c>
      <c r="I21" s="68">
        <f>$B$5</f>
        <v/>
      </c>
      <c r="J21" s="68">
        <f>$B$5</f>
        <v/>
      </c>
      <c r="K21" s="68">
        <f>$B$5</f>
        <v/>
      </c>
      <c r="L21" s="68">
        <f>$B$5</f>
        <v/>
      </c>
      <c r="M21" s="68">
        <f>$B$5</f>
        <v/>
      </c>
      <c r="N21" s="68">
        <f>SUM(B21:M21)</f>
        <v/>
      </c>
    </row>
    <row r="22">
      <c r="A22" s="83" t="inlineStr">
        <is>
          <t>Matt — Actual (spent)</t>
        </is>
      </c>
      <c r="B22" s="84" t="n"/>
      <c r="C22" s="84" t="n"/>
      <c r="D22" s="84" t="n"/>
      <c r="E22" s="84" t="n"/>
      <c r="F22" s="84" t="n"/>
      <c r="G22" s="84" t="n"/>
      <c r="H22" s="84" t="n"/>
      <c r="I22" s="84" t="n"/>
      <c r="J22" s="84" t="n"/>
      <c r="K22" s="84" t="n"/>
      <c r="L22" s="84" t="n"/>
      <c r="M22" s="84" t="n"/>
      <c r="N22" s="68">
        <f>SUM(B22:M22)</f>
        <v/>
      </c>
    </row>
    <row r="23">
      <c r="A23" s="80" t="inlineStr">
        <is>
          <t>Matt — Rollover available</t>
        </is>
      </c>
      <c r="B23" s="85">
        <f>B21-B22</f>
        <v/>
      </c>
      <c r="C23" s="85">
        <f>B23+C21-C22</f>
        <v/>
      </c>
      <c r="D23" s="85">
        <f>C23+D21-D22</f>
        <v/>
      </c>
      <c r="E23" s="85">
        <f>D23+E21-E22</f>
        <v/>
      </c>
      <c r="F23" s="85">
        <f>E23+F21-F22</f>
        <v/>
      </c>
      <c r="G23" s="85">
        <f>F23+G21-G22</f>
        <v/>
      </c>
      <c r="H23" s="85">
        <f>G23+H21-H22</f>
        <v/>
      </c>
      <c r="I23" s="85">
        <f>H23+I21-I22</f>
        <v/>
      </c>
      <c r="J23" s="85">
        <f>I23+J21-J22</f>
        <v/>
      </c>
      <c r="K23" s="85">
        <f>J23+K21-K22</f>
        <v/>
      </c>
      <c r="L23" s="85">
        <f>K23+L21-L22</f>
        <v/>
      </c>
      <c r="M23" s="85">
        <f>L23+M21-M22</f>
        <v/>
      </c>
      <c r="N23" s="85">
        <f>M23</f>
        <v/>
      </c>
    </row>
    <row r="24">
      <c r="A24" s="83" t="inlineStr">
        <is>
          <t>Sue — Budget</t>
        </is>
      </c>
      <c r="B24" s="68">
        <f>$B$6</f>
        <v/>
      </c>
      <c r="C24" s="68">
        <f>$B$6</f>
        <v/>
      </c>
      <c r="D24" s="68">
        <f>$B$6</f>
        <v/>
      </c>
      <c r="E24" s="68">
        <f>$B$6</f>
        <v/>
      </c>
      <c r="F24" s="68">
        <f>$B$6</f>
        <v/>
      </c>
      <c r="G24" s="68">
        <f>$B$6</f>
        <v/>
      </c>
      <c r="H24" s="68">
        <f>$B$6</f>
        <v/>
      </c>
      <c r="I24" s="68">
        <f>$B$6</f>
        <v/>
      </c>
      <c r="J24" s="68">
        <f>$B$6</f>
        <v/>
      </c>
      <c r="K24" s="68">
        <f>$B$6</f>
        <v/>
      </c>
      <c r="L24" s="68">
        <f>$B$6</f>
        <v/>
      </c>
      <c r="M24" s="68">
        <f>$B$6</f>
        <v/>
      </c>
      <c r="N24" s="68">
        <f>SUM(B24:M24)</f>
        <v/>
      </c>
    </row>
    <row r="25">
      <c r="A25" s="83" t="inlineStr">
        <is>
          <t>Sue — Actual (spent)</t>
        </is>
      </c>
      <c r="B25" s="84" t="n"/>
      <c r="C25" s="84" t="n"/>
      <c r="D25" s="84" t="n"/>
      <c r="E25" s="84" t="n"/>
      <c r="F25" s="84" t="n"/>
      <c r="G25" s="84" t="n"/>
      <c r="H25" s="84" t="n"/>
      <c r="I25" s="84" t="n"/>
      <c r="J25" s="84" t="n"/>
      <c r="K25" s="84" t="n"/>
      <c r="L25" s="84" t="n"/>
      <c r="M25" s="84" t="n"/>
      <c r="N25" s="68">
        <f>SUM(B25:M25)</f>
        <v/>
      </c>
    </row>
    <row r="26">
      <c r="A26" s="80" t="inlineStr">
        <is>
          <t>Sue — Rollover available</t>
        </is>
      </c>
      <c r="B26" s="85">
        <f>B24-B25</f>
        <v/>
      </c>
      <c r="C26" s="85">
        <f>B26+C24-C25</f>
        <v/>
      </c>
      <c r="D26" s="85">
        <f>C26+D24-D25</f>
        <v/>
      </c>
      <c r="E26" s="85">
        <f>D26+E24-E25</f>
        <v/>
      </c>
      <c r="F26" s="85">
        <f>E26+F24-F25</f>
        <v/>
      </c>
      <c r="G26" s="85">
        <f>F26+G24-G25</f>
        <v/>
      </c>
      <c r="H26" s="85">
        <f>G26+H24-H25</f>
        <v/>
      </c>
      <c r="I26" s="85">
        <f>H26+I24-I25</f>
        <v/>
      </c>
      <c r="J26" s="85">
        <f>I26+J24-J25</f>
        <v/>
      </c>
      <c r="K26" s="85">
        <f>J26+K24-K25</f>
        <v/>
      </c>
      <c r="L26" s="85">
        <f>K26+L24-L25</f>
        <v/>
      </c>
      <c r="M26" s="85">
        <f>L26+M24-M25</f>
        <v/>
      </c>
      <c r="N26" s="85">
        <f>M26</f>
        <v/>
      </c>
    </row>
    <row r="27">
      <c r="A27" s="83" t="inlineStr">
        <is>
          <t>Household — Budget</t>
        </is>
      </c>
      <c r="B27" s="68">
        <f>$B$7</f>
        <v/>
      </c>
      <c r="C27" s="68">
        <f>$B$7</f>
        <v/>
      </c>
      <c r="D27" s="68">
        <f>$B$7</f>
        <v/>
      </c>
      <c r="E27" s="68">
        <f>$B$7</f>
        <v/>
      </c>
      <c r="F27" s="68">
        <f>$B$7</f>
        <v/>
      </c>
      <c r="G27" s="68">
        <f>$B$7</f>
        <v/>
      </c>
      <c r="H27" s="68">
        <f>$B$7</f>
        <v/>
      </c>
      <c r="I27" s="68">
        <f>$B$7</f>
        <v/>
      </c>
      <c r="J27" s="68">
        <f>$B$7</f>
        <v/>
      </c>
      <c r="K27" s="68">
        <f>$B$7</f>
        <v/>
      </c>
      <c r="L27" s="68">
        <f>$B$7</f>
        <v/>
      </c>
      <c r="M27" s="68">
        <f>$B$7</f>
        <v/>
      </c>
      <c r="N27" s="68">
        <f>SUM(B27:M27)</f>
        <v/>
      </c>
    </row>
    <row r="28">
      <c r="A28" s="83" t="inlineStr">
        <is>
          <t>Household — Actual (spent)</t>
        </is>
      </c>
      <c r="B28" s="84" t="n"/>
      <c r="C28" s="84" t="n"/>
      <c r="D28" s="84" t="n"/>
      <c r="E28" s="84" t="n"/>
      <c r="F28" s="84" t="n"/>
      <c r="G28" s="84" t="n"/>
      <c r="H28" s="84" t="n"/>
      <c r="I28" s="84" t="n"/>
      <c r="J28" s="84" t="n"/>
      <c r="K28" s="84" t="n"/>
      <c r="L28" s="84" t="n"/>
      <c r="M28" s="84" t="n"/>
      <c r="N28" s="68">
        <f>SUM(B28:M28)</f>
        <v/>
      </c>
    </row>
    <row r="29">
      <c r="A29" s="80" t="inlineStr">
        <is>
          <t>Household — Rollover available</t>
        </is>
      </c>
      <c r="B29" s="85">
        <f>B27-B28</f>
        <v/>
      </c>
      <c r="C29" s="85">
        <f>B29+C27-C28</f>
        <v/>
      </c>
      <c r="D29" s="85">
        <f>C29+D27-D28</f>
        <v/>
      </c>
      <c r="E29" s="85">
        <f>D29+E27-E28</f>
        <v/>
      </c>
      <c r="F29" s="85">
        <f>E29+F27-F28</f>
        <v/>
      </c>
      <c r="G29" s="85">
        <f>F29+G27-G28</f>
        <v/>
      </c>
      <c r="H29" s="85">
        <f>G29+H27-H28</f>
        <v/>
      </c>
      <c r="I29" s="85">
        <f>H29+I27-I28</f>
        <v/>
      </c>
      <c r="J29" s="85">
        <f>I29+J27-J28</f>
        <v/>
      </c>
      <c r="K29" s="85">
        <f>J29+K27-K28</f>
        <v/>
      </c>
      <c r="L29" s="85">
        <f>K29+L27-L28</f>
        <v/>
      </c>
      <c r="M29" s="85">
        <f>L29+M27-M28</f>
        <v/>
      </c>
      <c r="N29" s="85">
        <f>M29</f>
        <v/>
      </c>
    </row>
    <row r="30">
      <c r="A30" s="83" t="inlineStr">
        <is>
          <t>Combined — Actual</t>
        </is>
      </c>
      <c r="B30" s="68">
        <f>B22+B25+B28</f>
        <v/>
      </c>
      <c r="C30" s="68">
        <f>C22+C25+C28</f>
        <v/>
      </c>
      <c r="D30" s="68">
        <f>D22+D25+D28</f>
        <v/>
      </c>
      <c r="E30" s="68">
        <f>E22+E25+E28</f>
        <v/>
      </c>
      <c r="F30" s="68">
        <f>F22+F25+F28</f>
        <v/>
      </c>
      <c r="G30" s="68">
        <f>G22+G25+G28</f>
        <v/>
      </c>
      <c r="H30" s="68">
        <f>H22+H25+H28</f>
        <v/>
      </c>
      <c r="I30" s="68">
        <f>I22+I25+I28</f>
        <v/>
      </c>
      <c r="J30" s="68">
        <f>J22+J25+J28</f>
        <v/>
      </c>
      <c r="K30" s="68">
        <f>K22+K25+K28</f>
        <v/>
      </c>
      <c r="L30" s="68">
        <f>L22+L25+L28</f>
        <v/>
      </c>
      <c r="M30" s="68">
        <f>M22+M25+M28</f>
        <v/>
      </c>
      <c r="N30" s="68">
        <f>SUM(B30:M30)</f>
        <v/>
      </c>
    </row>
    <row r="31">
      <c r="A31" s="83" t="inlineStr">
        <is>
          <t>Combined — Budget</t>
        </is>
      </c>
      <c r="B31" s="68">
        <f>B21+B24+B27</f>
        <v/>
      </c>
      <c r="C31" s="68">
        <f>C21+C24+C27</f>
        <v/>
      </c>
      <c r="D31" s="68">
        <f>D21+D24+D27</f>
        <v/>
      </c>
      <c r="E31" s="68">
        <f>E21+E24+E27</f>
        <v/>
      </c>
      <c r="F31" s="68">
        <f>F21+F24+F27</f>
        <v/>
      </c>
      <c r="G31" s="68">
        <f>G21+G24+G27</f>
        <v/>
      </c>
      <c r="H31" s="68">
        <f>H21+H24+H27</f>
        <v/>
      </c>
      <c r="I31" s="68">
        <f>I21+I24+I27</f>
        <v/>
      </c>
      <c r="J31" s="68">
        <f>J21+J24+J27</f>
        <v/>
      </c>
      <c r="K31" s="68">
        <f>K21+K24+K27</f>
        <v/>
      </c>
      <c r="L31" s="68">
        <f>L21+L24+L27</f>
        <v/>
      </c>
      <c r="M31" s="68">
        <f>M21+M24+M27</f>
        <v/>
      </c>
      <c r="N31" s="68">
        <f>SUM(B31:M31)</f>
        <v/>
      </c>
    </row>
    <row r="32">
      <c r="A32" s="80" t="inlineStr">
        <is>
          <t>Combined — Rollover available</t>
        </is>
      </c>
      <c r="B32" s="85">
        <f>B23+B26+B29</f>
        <v/>
      </c>
      <c r="C32" s="85">
        <f>C23+C26+C29</f>
        <v/>
      </c>
      <c r="D32" s="85">
        <f>D23+D26+D29</f>
        <v/>
      </c>
      <c r="E32" s="85">
        <f>E23+E26+E29</f>
        <v/>
      </c>
      <c r="F32" s="85">
        <f>F23+F26+F29</f>
        <v/>
      </c>
      <c r="G32" s="85">
        <f>G23+G26+G29</f>
        <v/>
      </c>
      <c r="H32" s="85">
        <f>H23+H26+H29</f>
        <v/>
      </c>
      <c r="I32" s="85">
        <f>I23+I26+I29</f>
        <v/>
      </c>
      <c r="J32" s="85">
        <f>J23+J26+J29</f>
        <v/>
      </c>
      <c r="K32" s="85">
        <f>K23+K26+K29</f>
        <v/>
      </c>
      <c r="L32" s="85">
        <f>L23+L26+L29</f>
        <v/>
      </c>
      <c r="M32" s="85">
        <f>M23+M26+M29</f>
        <v/>
      </c>
      <c r="N32" s="85">
        <f>M32</f>
        <v/>
      </c>
    </row>
    <row r="34">
      <c r="A34" s="44" t="inlineStr">
        <is>
          <t>④ IMPACT ON YOUR SAVINGS / FIRE</t>
        </is>
      </c>
      <c r="B34" s="45" t="n"/>
      <c r="C34" s="45" t="n"/>
      <c r="D34" s="45" t="n"/>
      <c r="E34" s="45" t="n"/>
      <c r="F34" s="45" t="n"/>
      <c r="G34" s="45" t="n"/>
      <c r="H34" s="45" t="n"/>
      <c r="I34" s="45" t="n"/>
      <c r="J34" s="45" t="n"/>
      <c r="K34" s="45" t="n"/>
      <c r="L34" s="45" t="n"/>
      <c r="M34" s="45" t="n"/>
      <c r="N34" s="45" t="n"/>
    </row>
    <row r="35">
      <c r="A35" t="inlineStr">
        <is>
          <t>YTD combined budget</t>
        </is>
      </c>
      <c r="B35" s="73">
        <f>N31</f>
        <v/>
      </c>
    </row>
    <row r="36">
      <c r="A36" t="inlineStr">
        <is>
          <t>YTD combined actual</t>
        </is>
      </c>
      <c r="B36" s="73">
        <f>N30</f>
        <v/>
      </c>
    </row>
    <row r="37">
      <c r="A37" s="63" t="inlineStr">
        <is>
          <t>YTD over / (under)</t>
        </is>
      </c>
      <c r="B37" s="64">
        <f>N30-N31</f>
        <v/>
      </c>
      <c r="C37" s="47" t="inlineStr">
        <is>
          <t>Positive = overspent (money that didn't get invested).</t>
        </is>
      </c>
    </row>
    <row r="38">
      <c r="A38" t="inlineStr">
        <is>
          <t>Growth factor (real, 20 yrs)</t>
        </is>
      </c>
      <c r="B38" s="97">
        <f>(1+'FIRE Dashboard'!B12)^20</f>
        <v/>
      </c>
    </row>
    <row r="39">
      <c r="A39" s="63" t="inlineStr">
        <is>
          <t>Compounded cost of overspend</t>
        </is>
      </c>
      <c r="B39" s="64">
        <f>MAX(0,B37)*B38</f>
        <v/>
      </c>
      <c r="C39" s="47" t="inlineStr">
        <is>
          <t>What this year's overspend would be worth in 20 yrs if invested instead.</t>
        </is>
      </c>
    </row>
    <row r="41">
      <c r="A41" s="41" t="inlineStr">
        <is>
          <t>How rollover works: each month adds the lane's budget and subtracts what you spent. Underspend and the balance grows (bank it for a guilt-free splurge later); overspend and it goes negative until you claw it back. Actuals post automatically from the Monthly Entry tab.</t>
        </is>
      </c>
    </row>
    <row r="42"/>
    <row r="43"/>
  </sheetData>
  <mergeCells count="7">
    <mergeCell ref="C10:H10"/>
    <mergeCell ref="C37:H37"/>
    <mergeCell ref="C9:H9"/>
    <mergeCell ref="A2:N2"/>
    <mergeCell ref="C39:H39"/>
    <mergeCell ref="A41:N43"/>
    <mergeCell ref="C7:H7"/>
  </mergeCells>
  <conditionalFormatting sqref="B23:M23">
    <cfRule type="cellIs" priority="1" operator="lessThan" dxfId="2">
      <formula>0</formula>
    </cfRule>
    <cfRule type="cellIs" priority="2" operator="greaterThanOrEqual" dxfId="3">
      <formula>$B$9</formula>
    </cfRule>
  </conditionalFormatting>
  <conditionalFormatting sqref="B26:M26">
    <cfRule type="cellIs" priority="3" operator="lessThan" dxfId="2">
      <formula>0</formula>
    </cfRule>
    <cfRule type="cellIs" priority="4" operator="greaterThanOrEqual" dxfId="3">
      <formula>$B$9</formula>
    </cfRule>
  </conditionalFormatting>
  <conditionalFormatting sqref="B29:M29">
    <cfRule type="cellIs" priority="5" operator="lessThan" dxfId="2">
      <formula>0</formula>
    </cfRule>
    <cfRule type="cellIs" priority="6" operator="greaterThanOrEqual" dxfId="3">
      <formula>$B$9</formula>
    </cfRule>
  </conditionalFormatting>
  <conditionalFormatting sqref="B32:M32">
    <cfRule type="cellIs" priority="7" operator="lessThan" dxfId="2">
      <formula>0</formula>
    </cfRule>
    <cfRule type="cellIs" priority="8" operator="greaterThanOrEqual" dxfId="3">
      <formula>$B$9</formula>
    </cfRule>
  </conditionalFormatting>
  <dataValidations count="1">
    <dataValidation sqref="B10"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2026-09-19T23:50:04Z</dcterms:created>
  <dcterms:modified xsi:type="dcterms:W3CDTF">2026-09-19T23:50:04Z</dcterms:modified>
</cp:coreProperties>
</file>