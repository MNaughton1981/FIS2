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Income Statement" sheetId="2" r:id="rId6"/>
    <sheet state="visible" name="CC Detail" sheetId="3" r:id="rId7"/>
    <sheet state="visible" name="Solar ROI" sheetId="4" r:id="rId8"/>
    <sheet state="visible" name="Balances" sheetId="5" r:id="rId9"/>
    <sheet state="visible" name="Comp &amp; Benefits" sheetId="6" r:id="rId10"/>
    <sheet state="visible" name="Scenarios" sheetId="7" r:id="rId11"/>
    <sheet state="visible" name="Charts" sheetId="8" r:id="rId12"/>
    <sheet state="visible" name="Imports - Checking" sheetId="9" r:id="rId13"/>
    <sheet state="visible" name="Imports - Savings" sheetId="10" r:id="rId14"/>
    <sheet state="visible" name="Imports - Barclay" sheetId="11" r:id="rId15"/>
    <sheet state="visible" name="Rules" sheetId="12" r:id="rId16"/>
  </sheets>
  <definedNames/>
  <calcPr/>
</workbook>
</file>

<file path=xl/sharedStrings.xml><?xml version="1.0" encoding="utf-8"?>
<sst xmlns="http://schemas.openxmlformats.org/spreadsheetml/2006/main" count="515" uniqueCount="391">
  <si>
    <t>Family Income Statement 2026 — v4</t>
  </si>
  <si>
    <t>TABS:</t>
  </si>
  <si>
    <t xml:space="preserve">  README          — this guide</t>
  </si>
  <si>
    <t xml:space="preserve">  Income Statement — main monthly P&amp;L</t>
  </si>
  <si>
    <t xml:space="preserve">  CC Detail       — categorized variable spending (auto)</t>
  </si>
  <si>
    <t xml:space="preserve">  Solar ROI       — capital, monthly savings, payback</t>
  </si>
  <si>
    <t xml:space="preserve">  Balances        — month-end account snapshots</t>
  </si>
  <si>
    <t xml:space="preserve">  Comp &amp; Benefits — Matt 401k, Sue pension/403b, FSA tracking</t>
  </si>
  <si>
    <t xml:space="preserve">  Scenarios       — financial what-if analysis</t>
  </si>
  <si>
    <t xml:space="preserve">  Charts          — auto-generated charts (run from menu)</t>
  </si>
  <si>
    <t xml:space="preserve">  Imports - Checking / Savings / Barclay — paste raw CSVs here</t>
  </si>
  <si>
    <t xml:space="preserve">  Rules           — merchant -&gt; category mappings</t>
  </si>
  <si>
    <t>MENU (after running the Apps Script):</t>
  </si>
  <si>
    <t xml:space="preserve">  📊 Family Finances</t>
  </si>
  <si>
    <t xml:space="preserve">    → Categorize &amp; Roll Up      (process Imports tabs)</t>
  </si>
  <si>
    <t xml:space="preserve">    → Generate / Refresh Charts (build/update Charts tab)</t>
  </si>
  <si>
    <t xml:space="preserve">    → Clear All Imports         (wipe Imports tabs after monthly run)</t>
  </si>
  <si>
    <t xml:space="preserve">    → Roll Over to Next Year    (carry forward balances, archive 2026)</t>
  </si>
  <si>
    <t xml:space="preserve">    → Clear CC Detail           (reset categorized totals)</t>
  </si>
  <si>
    <t>MONTHLY ROUTINE (5 min):</t>
  </si>
  <si>
    <t xml:space="preserve">  1. Download CSVs from Capital One (both accounts) and Barclaycard.</t>
  </si>
  <si>
    <t xml:space="preserve">     Use full YTD date range (Jan 1 to today) — paste-replaces previous data.</t>
  </si>
  <si>
    <t xml:space="preserve">  2. Paste each CSV into its matching Imports tab (overwrite previous month).</t>
  </si>
  <si>
    <t xml:space="preserve">  3. Run: 📊 Family Finances → Categorize &amp; Roll Up.</t>
  </si>
  <si>
    <t xml:space="preserve">  4. Yellow rows in Imports = uncategorized — review and add rules if needed.</t>
  </si>
  <si>
    <t xml:space="preserve">  5. Update Balances tab with month-end account balances.</t>
  </si>
  <si>
    <t xml:space="preserve">  6. Update Solar ROI with the actual electric bill.</t>
  </si>
  <si>
    <t xml:space="preserve">  7. Enter the actual ending checking balance in Reconciliation row.</t>
  </si>
  <si>
    <t xml:space="preserve">     If Variance is near zero, your tracking is correct.</t>
  </si>
  <si>
    <t xml:space="preserve">  8. (Optional) Run: Generate / Refresh Charts to update visuals.</t>
  </si>
  <si>
    <t>YEAR-END ROUTINE (10 min):</t>
  </si>
  <si>
    <t xml:space="preserve">  1. Make sure all 12 months of 2026 are filled in.</t>
  </si>
  <si>
    <t xml:space="preserve">  2. File → Make a copy. Rename original to 'FIS 2026 (archived)'.</t>
  </si>
  <si>
    <t xml:space="preserve">  3. In the new copy, run: 📊 Family Finances → Roll Over to Next Year.</t>
  </si>
  <si>
    <t xml:space="preserve">     This clears 2026 monthly data and carries Dec balances → Jan 2027.</t>
  </si>
  <si>
    <t xml:space="preserve">  4. Update the title on the Income Statement tab (cell A1).</t>
  </si>
  <si>
    <t xml:space="preserve">  5. Update Solar ROI baseline values for the new year.</t>
  </si>
  <si>
    <t>WHY THE OLD SHEET SHOWED A DEFICIT THAT WASN'T REAL:</t>
  </si>
  <si>
    <t xml:space="preserve">  - Logging the Barclaycard payment (~$5-8k/mo) AS an expense, while individual</t>
  </si>
  <si>
    <t xml:space="preserve">    purchases on the card were ALSO categorized -&gt; double-counting.</t>
  </si>
  <si>
    <t xml:space="preserve">  - Childcare under-logged: spreadsheet had ~$350/mo, actual = ~$880/mo.</t>
  </si>
  <si>
    <t xml:space="preserve">  - Mortgage under-logged: spreadsheet had $3,254/mo, actual ~$3,562/mo average</t>
  </si>
  <si>
    <t xml:space="preserve">    (biweekly payments yield 26/yr = 13 monthly equivalents).</t>
  </si>
  <si>
    <t xml:space="preserve">  - Income under-logged: tuition reimbursement (~$3,634 YTD), MathWorks expense</t>
  </si>
  <si>
    <t xml:space="preserve">    reimbursements, FSA Dep Care reimbursement (~$4,000 March lump),</t>
  </si>
  <si>
    <t xml:space="preserve">    Q4 stakeholder bonus, Q4 401k true-up, Amazon refunds, Barclaycard rewards,</t>
  </si>
  <si>
    <t xml:space="preserve">    MA tax refund — all were buried in the catch-all 'Misc' line.</t>
  </si>
  <si>
    <t>FSA DEP CARE — CONFIRMED, IT REALLY DOES CAUSE A TEMPORARY DEFICIT:</t>
  </si>
  <si>
    <t xml:space="preserve">  - $153.85 deducted pre-tax from each MathWorks paycheck (you never see it).</t>
  </si>
  <si>
    <t xml:space="preserve">  - 26 paychecks × $153.85 = $4,000/year going into the FSA bucket.</t>
  </si>
  <si>
    <t xml:space="preserve">  - Childcare paid out of pocket throughout the year (~$880/mo via checks).</t>
  </si>
  <si>
    <t xml:space="preserve">  - You submit receipts and get reimbursed up to $4,000 — typically as a</t>
  </si>
  <si>
    <t xml:space="preserve">    lump deposit in March.</t>
  </si>
  <si>
    <t xml:space="preserve">  - Net effect: doesn't change annual cash flow, just timing within the year</t>
  </si>
  <si>
    <t xml:space="preserve">    (and saves you ~$1k/yr in taxes).</t>
  </si>
  <si>
    <t>MATTHEW Q4 LUMP SUMS (MathWorks):</t>
  </si>
  <si>
    <t xml:space="preserve">  - 401k contribution: 22% (auto-incr 1%/yr, cap 50%). Plan auto-caps at</t>
  </si>
  <si>
    <t xml:space="preserve">    $23,500/yr — Matt is already maxed (22% × ~$144k = $31.8k &gt; limit).</t>
  </si>
  <si>
    <t xml:space="preserve">    Matt typically maxes out by mid-September; Q4 paychecks then have no</t>
  </si>
  <si>
    <t xml:space="preserve">    401k deduction (richer take-home).</t>
  </si>
  <si>
    <t xml:space="preserve">  - 401k match: throughout the year, MW matches first 3% of pay; in Q4,</t>
  </si>
  <si>
    <t xml:space="preserve">    they typically true-up to 6% (effectively doubling). Goes into 401k account,</t>
  </si>
  <si>
    <t xml:space="preserve">    NOT checking — tracked on Comp &amp; Benefits tab.</t>
  </si>
  <si>
    <t xml:space="preserve">  - Q4 stakeholder bonus: usually doubled at year-end. The doubling deposit</t>
  </si>
  <si>
    <t xml:space="preserve">    DOES hit checking as a separate direct deposit (~$300+, varies by year).</t>
  </si>
  <si>
    <t xml:space="preserve">    Tracked on Income Statement as 'Q4 stakeholder bonus'.</t>
  </si>
  <si>
    <t>STRATEGIC NOTE — Matt's 401k is FULL:</t>
  </si>
  <si>
    <t xml:space="preserve">  Because Matt is already maxed at the $23,500 cap, redirecting freed cash</t>
  </si>
  <si>
    <t xml:space="preserve">  flow toward Matt's 401k adds $0. Best buckets for incremental savings:</t>
  </si>
  <si>
    <t xml:space="preserve">    1. Sue 403b (currently $0; restart + annual rollover to escape Equitable fees)</t>
  </si>
  <si>
    <t xml:space="preserve">    2. Backdoor Roth IRA × 2 ($14,000/yr capacity)</t>
  </si>
  <si>
    <t xml:space="preserve">    3. HSA if MW offers HDHP option (triple tax advantage)</t>
  </si>
  <si>
    <t xml:space="preserve">    4. 529 increase (MA tax deduction up to $2k joint = ~$100/yr savings)</t>
  </si>
  <si>
    <t xml:space="preserve">    5. Taxable brokerage (last resort)</t>
  </si>
  <si>
    <t xml:space="preserve">  See Scenarios tab for side-by-side comparisons.</t>
  </si>
  <si>
    <t>COLOR LEGEND:</t>
  </si>
  <si>
    <t xml:space="preserve">  Yellow cell = input you fill in</t>
  </si>
  <si>
    <t xml:space="preserve">  Green cell  = a rule (Rules tab) or auto-categorized</t>
  </si>
  <si>
    <t xml:space="preserve">  Orange cell = scenario input (Scenarios tab)</t>
  </si>
  <si>
    <t xml:space="preserve">  Blue header = section</t>
  </si>
  <si>
    <t xml:space="preserve">  Red number  = warning / negative variance</t>
  </si>
  <si>
    <t xml:space="preserve">  Green number = positive / good variance</t>
  </si>
  <si>
    <t>Family Income Statement — 2026</t>
  </si>
  <si>
    <t>Yellow = enter values. White = formulas. Some lines pull from CC Detail or Solar ROI.</t>
  </si>
  <si>
    <t>Category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</si>
  <si>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</si>
  <si>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</si>
  <si>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</si>
  <si>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</si>
  <si>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</si>
  <si>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</si>
  <si>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</si>
  <si>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</si>
  <si>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</si>
  <si>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</si>
  <si>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</si>
  <si>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</si>
  <si>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YTD Total</t>
  </si>
  <si>
    <t>Avg/mo</t>
  </si>
  <si>
    <t>INCOME</t>
  </si>
  <si>
    <t xml:space="preserve">    Sue — net pay (Town of Sharon)</t>
  </si>
  <si>
    <t xml:space="preserve">    Matt — net pay (MathWorks)</t>
  </si>
  <si>
    <t xml:space="preserve">    Q4 stakeholder bonus (MW lump, doubled)</t>
  </si>
  <si>
    <t xml:space="preserve">    Interest earned</t>
  </si>
  <si>
    <t xml:space="preserve">    FSA Dep Care reimbursement (lump from Wex)</t>
  </si>
  <si>
    <t xml:space="preserve">    Tuition reimbursement (MathWorks)</t>
  </si>
  <si>
    <t xml:space="preserve">    Tax refunds (Federal/MA)</t>
  </si>
  <si>
    <t xml:space="preserve">    CC rewards / Misc refunds / Side income</t>
  </si>
  <si>
    <t>Total Income</t>
  </si>
  <si>
    <t>FIXED EXPENSES</t>
  </si>
  <si>
    <t xml:space="preserve">    Mortgage (Rocket biweekly avg)</t>
  </si>
  <si>
    <t xml:space="preserve">    Car — 2023 Sienna loan (BoA)</t>
  </si>
  <si>
    <t xml:space="preserve">    Car — 2022 RAV4 loan (Toyota)</t>
  </si>
  <si>
    <t xml:space="preserve">    Childcare (checks)</t>
  </si>
  <si>
    <t xml:space="preserve">    Tuition (Northeastern)</t>
  </si>
  <si>
    <t xml:space="preserve">    Life insurance — American General</t>
  </si>
  <si>
    <t xml:space="preserve">    Life insurance — ALIC</t>
  </si>
  <si>
    <t xml:space="preserve">    Verizon</t>
  </si>
  <si>
    <t xml:space="preserve">    T-Mobile</t>
  </si>
  <si>
    <t xml:space="preserve">    Schwab investment (529)</t>
  </si>
  <si>
    <t xml:space="preserve">    Fidelity investment ($50/mo)</t>
  </si>
  <si>
    <t>Total Fixed Expenses</t>
  </si>
  <si>
    <t>UTILITIES (Gas/Electric Currently Lumped)</t>
  </si>
  <si>
    <t xml:space="preserve">    Gas bill</t>
  </si>
  <si>
    <t xml:space="preserve">    Electric (Eversource — pre-solar)</t>
  </si>
  <si>
    <t xml:space="preserve">    Water</t>
  </si>
  <si>
    <t>Total Utilities</t>
  </si>
  <si>
    <t>VARIABLE SPENDING (auto-pulled from CC Detail)</t>
  </si>
  <si>
    <t xml:space="preserve">    Groceries</t>
  </si>
  <si>
    <t xml:space="preserve">    Gas / Vehicle</t>
  </si>
  <si>
    <t xml:space="preserve">    Dining out</t>
  </si>
  <si>
    <t xml:space="preserve">    Subscriptions</t>
  </si>
  <si>
    <t xml:space="preserve">    Kids / Activities</t>
  </si>
  <si>
    <t xml:space="preserve">    Travel</t>
  </si>
  <si>
    <t xml:space="preserve">    Personal Care</t>
  </si>
  <si>
    <t xml:space="preserve">    Pharmacy / Health</t>
  </si>
  <si>
    <t xml:space="preserve">    Home / Hardware</t>
  </si>
  <si>
    <t xml:space="preserve">    Amazon (misc)</t>
  </si>
  <si>
    <t xml:space="preserve">    Landscaping</t>
  </si>
  <si>
    <t xml:space="preserve">    Cash / allowances</t>
  </si>
  <si>
    <t xml:space="preserve">    Other / misc</t>
  </si>
  <si>
    <t>Total Variable Spending</t>
  </si>
  <si>
    <t>ONE-TIME / LARGE ITEMS</t>
  </si>
  <si>
    <t xml:space="preserve">    Solar install (capital — see Solar tab)</t>
  </si>
  <si>
    <t xml:space="preserve">    Federal taxes owed (April)</t>
  </si>
  <si>
    <t xml:space="preserve">    TurboTax / tax prep</t>
  </si>
  <si>
    <t xml:space="preserve">    Other large item</t>
  </si>
  <si>
    <t>Total One-Time</t>
  </si>
  <si>
    <t>TOTAL EXPENSES</t>
  </si>
  <si>
    <t>NET CASH FLOW (Income − Expenses)</t>
  </si>
  <si>
    <t>RECONCILIATION</t>
  </si>
  <si>
    <t xml:space="preserve">    Checking — beginning balance</t>
  </si>
  <si>
    <t xml:space="preserve">    Predicted ending = beg + net cash flow</t>
  </si>
  <si>
    <t xml:space="preserve">    Actual ending checking balance</t>
  </si>
  <si>
    <t xml:space="preserve">    Variance (actual − predicted)</t>
  </si>
  <si>
    <t>Variable Spending — by category (auto-populated)</t>
  </si>
  <si>
    <t>Auto-regenerated by Apps Script. Edit Rules tab to change categorization rather than typing here directly.</t>
  </si>
  <si>
    <t>YTD</t>
  </si>
  <si>
    <t>Groceries</t>
  </si>
  <si>
    <t>Gas / Vehicle</t>
  </si>
  <si>
    <t>Dining out</t>
  </si>
  <si>
    <t>Subscriptions</t>
  </si>
  <si>
    <t>Kids / Activities</t>
  </si>
  <si>
    <t>Travel</t>
  </si>
  <si>
    <t>Personal Care</t>
  </si>
  <si>
    <t>Pharmacy / Health</t>
  </si>
  <si>
    <t>Home / Hardware</t>
  </si>
  <si>
    <t>Amazon (misc)</t>
  </si>
  <si>
    <t>Landscaping</t>
  </si>
  <si>
    <t>Cash / allowances</t>
  </si>
  <si>
    <t>Other / misc</t>
  </si>
  <si>
    <t>Total variable spending</t>
  </si>
  <si>
    <t>Barclaycard statement total (manual — sanity)</t>
  </si>
  <si>
    <t>(Categorized − Statement) — should be ~0</t>
  </si>
  <si>
    <t>Solar Panel ROI Tracker</t>
  </si>
  <si>
    <t>Capital costs in row 5. Net meter goes live: track baseline (what you would have paid) vs. actual (with solar).</t>
  </si>
  <si>
    <t>Item</t>
  </si>
  <si>
    <t>Capital outlay</t>
  </si>
  <si>
    <t>Tax credits / incentives</t>
  </si>
  <si>
    <t>Net capital cost</t>
  </si>
  <si>
    <t>Baseline electric (estimate)</t>
  </si>
  <si>
    <t>Actual electric bill</t>
  </si>
  <si>
    <t>Monthly savings</t>
  </si>
  <si>
    <t>Cumulative savings</t>
  </si>
  <si>
    <t>Payback summary</t>
  </si>
  <si>
    <t xml:space="preserve">    Net capital cost</t>
  </si>
  <si>
    <t xml:space="preserve">    Avg monthly savings</t>
  </si>
  <si>
    <t xml:space="preserve">    Projected annual savings</t>
  </si>
  <si>
    <t xml:space="preserve">    Payback period (years)</t>
  </si>
  <si>
    <t xml:space="preserve">    % paid back</t>
  </si>
  <si>
    <t>Account Balances — month-end snapshots</t>
  </si>
  <si>
    <t>Snapshot at end of each month.</t>
  </si>
  <si>
    <t>Account</t>
  </si>
  <si>
    <t>Capital One Checking (7912)</t>
  </si>
  <si>
    <t>Capital One Savings (8940)</t>
  </si>
  <si>
    <t>Capital One Venmo float (9345)</t>
  </si>
  <si>
    <t>Fidelity Money Market</t>
  </si>
  <si>
    <t>Schwab investment</t>
  </si>
  <si>
    <t>529</t>
  </si>
  <si>
    <t>FSA Dep Care balance</t>
  </si>
  <si>
    <t>FSA Health Care balance</t>
  </si>
  <si>
    <t>Matt 401k (MathWorks)</t>
  </si>
  <si>
    <t>Sue 403b (Equitable)</t>
  </si>
  <si>
    <t>Sue pension (estimated)</t>
  </si>
  <si>
    <t>Other</t>
  </si>
  <si>
    <t>Total assets</t>
  </si>
  <si>
    <t>MoM change (assets)</t>
  </si>
  <si>
    <t>Compensation &amp; Benefits Tracking</t>
  </si>
  <si>
    <t>Track YTD progress on retirement contributions, FSA, employer match. Update from paystubs (or from Workday/MathWorks portal monthly).</t>
  </si>
  <si>
    <t>MATT (MathWorks)</t>
  </si>
  <si>
    <t>Per pay period</t>
  </si>
  <si>
    <t>Annual cap (2026)</t>
  </si>
  <si>
    <t>% used</t>
  </si>
  <si>
    <t>Notes</t>
  </si>
  <si>
    <t>Gross earnings</t>
  </si>
  <si>
    <t>Hourly + OT + Stakeholder + Reimbursements YTD</t>
  </si>
  <si>
    <t>Contribution rate %</t>
  </si>
  <si>
    <t>50% cap</t>
  </si>
  <si>
    <t>Auto-increases 1%/yr on May 1 up to 50% cap</t>
  </si>
  <si>
    <t>401k contribution (target)</t>
  </si>
  <si>
    <t>22% of ~$144k = ~$31,800 intended; PLAN AUTO-CAPS at $23,500. Maxes out by ~Sep.</t>
  </si>
  <si>
    <t>401k match (3% baseline, throughout)</t>
  </si>
  <si>
    <t>MW matches first 3% of pay; calculated as 3% of $144,612</t>
  </si>
  <si>
    <t>401k match Q4 true-up (3% lump)</t>
  </si>
  <si>
    <t>MW typically doubles to 6% at year-end (lump in 401k acct, NOT cash)</t>
  </si>
  <si>
    <t>FSA Dep Care</t>
  </si>
  <si>
    <t>Reimbursed when receipts submitted</t>
  </si>
  <si>
    <t>FSA Health Care</t>
  </si>
  <si>
    <t>2026 limit; reimbursed for medical expenses</t>
  </si>
  <si>
    <t>Tuition reimbursement (received)</t>
  </si>
  <si>
    <t>IRC §127 tax-free up to $5,250/yr</t>
  </si>
  <si>
    <t>Stakeholder Earnings YTD</t>
  </si>
  <si>
    <t>Doubled in Q4 — track when received</t>
  </si>
  <si>
    <t>Q4 stakeholder bonus</t>
  </si>
  <si>
    <t>Lump sum, hits checking separately</t>
  </si>
  <si>
    <t>SUE (Sharon Public Schools)</t>
  </si>
  <si>
    <t>MA pension contribution</t>
  </si>
  <si>
    <t>Mandatory deduction; not in retirement portfolio</t>
  </si>
  <si>
    <t>403b contribution (Equitable)</t>
  </si>
  <si>
    <t>0</t>
  </si>
  <si>
    <t>STOPPED — high fees; consider restart + annual rollover to Fidelity</t>
  </si>
  <si>
    <t>403b match</t>
  </si>
  <si>
    <t>Verify if district matches — depends on contract</t>
  </si>
  <si>
    <t>Total retirement %</t>
  </si>
  <si>
    <t>Track total Sue retirement savings rate including pension</t>
  </si>
  <si>
    <t>529 (kids college)</t>
  </si>
  <si>
    <t>Per month</t>
  </si>
  <si>
    <t>MA tax deduction cap</t>
  </si>
  <si>
    <t>529 contributions</t>
  </si>
  <si>
    <t>MA deducts up to $2k joint (~$100/yr tax savings)</t>
  </si>
  <si>
    <t>Financial Scenarios — what-if analysis</t>
  </si>
  <si>
    <t>Orange cells = inputs you can change. Other cells calculate automatically. Models 20-year horizon with simplified assumptions — not investment advice.</t>
  </si>
  <si>
    <t>ASSUMPTIONS</t>
  </si>
  <si>
    <t>Expected investment return (annual)</t>
  </si>
  <si>
    <t>Stock/bond mix typical for retirement timeline</t>
  </si>
  <si>
    <t>Time horizon (years)</t>
  </si>
  <si>
    <t>MA marginal tax rate</t>
  </si>
  <si>
    <t>Federal marginal tax rate</t>
  </si>
  <si>
    <t>LOANS</t>
  </si>
  <si>
    <t>Loan</t>
  </si>
  <si>
    <t>Balance</t>
  </si>
  <si>
    <t>Rate</t>
  </si>
  <si>
    <t>Monthly pmt</t>
  </si>
  <si>
    <t>Months left</t>
  </si>
  <si>
    <t>Interest remaining</t>
  </si>
  <si>
    <t>RAV4 (Toyota)</t>
  </si>
  <si>
    <t>Sienna (BoA)</t>
  </si>
  <si>
    <t>Mortgage (Rocket)</t>
  </si>
  <si>
    <t>SCENARIOS — projected outcomes over horizon</t>
  </si>
  <si>
    <t>Action</t>
  </si>
  <si>
    <t>Status quo</t>
  </si>
  <si>
    <t>Restart Sue 403b at $300/mo</t>
  </si>
  <si>
    <t>Pay off RAV4 → backdoor Roth IRAs ($7k×2)</t>
  </si>
  <si>
    <t>Pay off RAV4 + restart Sue 403b</t>
  </si>
  <si>
    <t>Aggressive: all above + boost 529 to $300/mo</t>
  </si>
  <si>
    <t>Monthly cash impact (vs status quo)</t>
  </si>
  <si>
    <t>New annual investment contributions</t>
  </si>
  <si>
    <t>Annual tax savings (federal+state)</t>
  </si>
  <si>
    <t>Loan interest saved (one-time)</t>
  </si>
  <si>
    <t>Investment growth over horizon</t>
  </si>
  <si>
    <t>TOTAL benefit (FV + interest saved + tax savings × horizon)</t>
  </si>
  <si>
    <t>Charts (auto-generated)</t>
  </si>
  <si>
    <t>Run: 📊 Family Finances → Generate / Refresh Charts. The Apps Script creates 4 charts on this tab from the data in Income Statement, CC Detail, Solar ROI, and Balances tabs.</t>
  </si>
  <si>
    <t>Cash Flow Summary (auto)</t>
  </si>
  <si>
    <t>Month</t>
  </si>
  <si>
    <t>Total Expenses</t>
  </si>
  <si>
    <t>Net Cash Flow</t>
  </si>
  <si>
    <t>Solar Cumulative Savings vs. Capital</t>
  </si>
  <si>
    <t>Net capital cost (reference)</t>
  </si>
  <si>
    <t>Total Assets Trend</t>
  </si>
  <si>
    <t>Imports — Checking</t>
  </si>
  <si>
    <t>Paste Capital One Checking CSV here (full YTD recommended). Run: 📊 Family Finances → Categorize &amp; Roll Up.</t>
  </si>
  <si>
    <t>Account Number</t>
  </si>
  <si>
    <t>Transaction Description</t>
  </si>
  <si>
    <t>Transaction Date</t>
  </si>
  <si>
    <t>Transaction Type</t>
  </si>
  <si>
    <t>Transaction Amount</t>
  </si>
  <si>
    <t>→ Category (auto)</t>
  </si>
  <si>
    <t>Imports — Savings</t>
  </si>
  <si>
    <t>Paste Capital One Savings CSV here.</t>
  </si>
  <si>
    <t>Imports — Barclay</t>
  </si>
  <si>
    <t>Paste Barclaycard CSV (skip header rows above 'Transaction Date').</t>
  </si>
  <si>
    <t>Description</t>
  </si>
  <si>
    <t>Amount</t>
  </si>
  <si>
    <t>Card Last 4 Digits</t>
  </si>
  <si>
    <t>Purchased by</t>
  </si>
  <si>
    <t>Categorization Rules</t>
  </si>
  <si>
    <t>Edit to change merchant categorization. First match wins (top down).</t>
  </si>
  <si>
    <t>Pattern (regex)</t>
  </si>
  <si>
    <t>Withdrawal to 360 Performance Savings</t>
  </si>
  <si>
    <t>__TRANSFER__</t>
  </si>
  <si>
    <t>Move $ to savings</t>
  </si>
  <si>
    <t>Deposit from 360 Performance Savings</t>
  </si>
  <si>
    <t>Move $ from savings</t>
  </si>
  <si>
    <t>Withdrawal to 360 Checking</t>
  </si>
  <si>
    <t>Savings → Checking</t>
  </si>
  <si>
    <t>Deposit from 360 Checking</t>
  </si>
  <si>
    <t>Checking → Savings</t>
  </si>
  <si>
    <t>BARCLAYCARD US CREDITCARD</t>
  </si>
  <si>
    <t>Pay Barclaycard bill</t>
  </si>
  <si>
    <t>TARGET CARD SRVC PAYMENT</t>
  </si>
  <si>
    <t>Pay Target card bill</t>
  </si>
  <si>
    <t>^Payment Received$</t>
  </si>
  <si>
    <t>Barclaycard side of CC payment</t>
  </si>
  <si>
    <t>MATHWORKS INC PAYROLL</t>
  </si>
  <si>
    <t>__INCOME__:Matt</t>
  </si>
  <si>
    <t>Matt's paycheck</t>
  </si>
  <si>
    <t>TOWN OF SHARON PAYROLL</t>
  </si>
  <si>
    <t>__INCOME__:Sue</t>
  </si>
  <si>
    <t>Sue's paycheck</t>
  </si>
  <si>
    <t>COMM\. OF MASS\. MASTTAXRFD</t>
  </si>
  <si>
    <t>__INCOME__:Tax refunds</t>
  </si>
  <si>
    <t>MA tax refund</t>
  </si>
  <si>
    <t>Monthly Interest Paid</t>
  </si>
  <si>
    <t>__INCOME__:Interest</t>
  </si>
  <si>
    <t>Bank interest</t>
  </si>
  <si>
    <t>Simple Earn Stmt Credit</t>
  </si>
  <si>
    <t>__INCOME__:CC rewards</t>
  </si>
  <si>
    <t>Barclaycard rewards</t>
  </si>
  <si>
    <t>TRAVEL CREDIT</t>
  </si>
  <si>
    <t>Travel statement credit</t>
  </si>
  <si>
    <t>MastercardTransitOffer</t>
  </si>
  <si>
    <t>Transit promo</t>
  </si>
  <si>
    <t>AMAZON MKTPLACE PMTS</t>
  </si>
  <si>
    <t>__INCOME__:Misc refunds</t>
  </si>
  <si>
    <t>Amazon refund</t>
  </si>
  <si>
    <t>ROCKET MORTGAGE</t>
  </si>
  <si>
    <t>__FIXED__:Mortgage</t>
  </si>
  <si>
    <t>Biweekly mortgage</t>
  </si>
  <si>
    <t>AMERICAN GEN LIF INS</t>
  </si>
  <si>
    <t>__FIXED__:Life ins (AmGen)</t>
  </si>
  <si>
    <t>ALIC INS PREM</t>
  </si>
  <si>
    <t>__FIXED__:Life ins (ALIC)</t>
  </si>
  <si>
    <t>TOYOTA ACH</t>
  </si>
  <si>
    <t>__FIXED__:Car (RAV4)</t>
  </si>
  <si>
    <t>RAV4 loan</t>
  </si>
  <si>
    <t>BANK OF AMERICA ONLINE PMT</t>
  </si>
  <si>
    <t>__FIXED__:Car (Sienna)</t>
  </si>
  <si>
    <t>Sienna auto loan</t>
  </si>
  <si>
    <t>VERIZON</t>
  </si>
  <si>
    <t>__FIXED__:Verizon</t>
  </si>
  <si>
    <t>Internet</t>
  </si>
  <si>
    <t>TMOBILE</t>
  </si>
  <si>
    <t>__FIXED__:T-Mobile</t>
  </si>
  <si>
    <t>Cell Phone</t>
  </si>
  <si>
    <t>EVERSOURCE</t>
  </si>
  <si>
    <t>__FIXED__:Electric</t>
  </si>
  <si>
    <t>SCHWAB ADV</t>
  </si>
  <si>
    <t>__FIXED__:Schwab investment</t>
  </si>
  <si>
    <t>FID BKG SVC</t>
  </si>
  <si>
    <t>__FIXED__:Fidelity investment</t>
  </si>
  <si>
    <t>NORTHEASTERN UNI</t>
  </si>
  <si>
    <t>__FIXED__:Tuition</t>
  </si>
  <si>
    <t>Check #</t>
  </si>
  <si>
    <t>__FIXED__:Childcare</t>
  </si>
  <si>
    <t>Most checks are childcare</t>
  </si>
  <si>
    <t>ALDI|TRADER JOE|BIG Y|STOP &amp; SHOP|SHAWS|COSTCO WHSE|FARMER IN THE DELL|WARDS BERRY|FLANNEL COW|BUBBLING BROOK|WARD'S BERRY FARM</t>
  </si>
  <si>
    <t>COSTCO GAS|CUMBERLAND FARMS|SHELL OIL|EXXON|BJ.*FUEL|SUNOCO|ROJO CAR WASH|E-ZPASS|GULF OIL 92062891</t>
  </si>
  <si>
    <t>NETFLIX|PARAMOUNT|PEACOCK|NYTIMES|SPOTIFY|PATREON|MISSIONLOCAL|APPLE\.COM/BILL|Groupon|KIRO PRO</t>
  </si>
  <si>
    <t>WALPOLE YOUTH|RBI BASEBALL|HOCKOMOCK|PATRIOT FLAG|UNIVERSAL POWER|WALPOLE RECREA|NCAHS|OUTSIDERS MERCHAND|KOHR GOLF|FORE KICKS|SASSAMON TRACE|TOWNECRAFTERS|SP PARK STREET BOOKS</t>
  </si>
  <si>
    <t>COURTYARD|MARRIOTT|SPOTHERO|CAPITOL EXPRESS|SMITH STORE|WIEHLE-RESTON|MR ICEO|PULSEWORKS|BINBOX|^METRO|MULTIPURE|DEERFIELD|LEVY@2NATIONAL|UBER *TRIP</t>
  </si>
  <si>
    <t>DYNASTY BARBER|YOO NAILS|VIONIC SHOES|J CREW|NORDSTROM|On Sportswear|POSHMARK|SECOND GLANCE|FRANCISCO SILVA - HAIR|GREAT HAND REFLEXOLOGY</t>
  </si>
  <si>
    <t>WALGREENS|CVS|PETCO|MUFFIN HOUSE|MUFFIN</t>
  </si>
  <si>
    <t>HOME DEPOT|ROCKY.*HARDWARE|DOLLARTREE|HOBBY LOBBY|FIVE BELOW|WALMART|VEVOR|WOODCRAFT 335</t>
  </si>
  <si>
    <t>SULLIVAN LANDSCAPE</t>
  </si>
  <si>
    <t>OPC\*US TREASURY|Intuit Inc</t>
  </si>
  <si>
    <t>__FIXED__:Federal taxes</t>
  </si>
  <si>
    <t>Annual tax payment</t>
  </si>
  <si>
    <t>TST\*|DD \*|SQ \*|TACO BELL|MCDONALD|WENDY|CHIPOTLE|DUNKIN|STARBUCKS|CAFE FRESH|PIZZERIA|ELEPHANT|MENCHIES|TESSIES|ANGELS CAFE|GINJO|SLICE\*|MONAHANS|RUSTIC GARDEN|RIBPUBLIC|CITIZEN CRUST|TACO AZUL|PHOBAMI|CHUCK E CHEESE|ESTELLA|EAGLE BROOK|PENANG|BEE SUITE|7-ELEVEN|BOSTON OPERA|YANKEE SPIRITS|TOTAL WINE|LS NORFOLK|CONVENIENCE FOOD|PANERA BREAD #203901 O</t>
  </si>
  <si>
    <t>AMAZON MKTPL|AMZN|Amazon.com*RT85D8PV3|AMAZON PRIME*B40RT9363</t>
  </si>
  <si>
    <t>ATM Withdrawal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</si>
</sst>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\$* #,##0_);_(\$* \(#,##0\);_(\$* &quot;-&quot;??_);_(@_)"/>
    <numFmt numFmtId="165" formatCode="0.0"/>
    <numFmt numFmtId="166" formatCode="0.0%"/>
    <numFmt numFmtId="167" formatCode="m/d/yyyy"/>
  </numFmts>
  <fonts count="12">
    <font>
      <sz val="11.0"/>
      <color theme="1"/>
      <name val="Calibri"/>
      <scheme val="minor"/>
    </font>
    <font>
      <b/>
      <sz val="16.0"/>
      <color rgb="FF1F4E78"/>
      <name val="Calibri"/>
    </font>
    <font>
      <color theme="1"/>
      <name val="Calibri"/>
      <scheme val="minor"/>
    </font>
    <font>
      <i/>
      <sz val="9.0"/>
      <color rgb="FF808080"/>
      <name val="Calibri"/>
    </font>
    <font>
      <b/>
      <sz val="11.0"/>
      <color rgb="FFFFFFFF"/>
      <name val="Calibri"/>
    </font>
    <font>
      <b/>
      <sz val="11.0"/>
      <color rgb="FF1F4E78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14.0"/>
      <color rgb="FF1F4E78"/>
      <name val="Calibri"/>
    </font>
    <font>
      <b/>
      <color theme="1"/>
      <name val="Calibri"/>
      <scheme val="minor"/>
    </font>
    <font>
      <sz val="11.0"/>
      <color rgb="FF000000"/>
      <name val="&quot;Aptos Narrow&quot;"/>
    </font>
    <font>
      <sz val="11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BDD7EE"/>
        <bgColor rgb="FFBDD7EE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E2F0D9"/>
        <bgColor rgb="FFE2F0D9"/>
      </patternFill>
    </fill>
  </fills>
  <borders count="3">
    <border/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horizontal="right"/>
    </xf>
    <xf borderId="0" fillId="0" fontId="3" numFmtId="0" xfId="0" applyFont="1"/>
    <xf borderId="1" fillId="2" fontId="4" numFmtId="0" xfId="0" applyAlignment="1" applyBorder="1" applyFill="1" applyFont="1">
      <alignment horizontal="center"/>
    </xf>
    <xf borderId="2" fillId="3" fontId="5" numFmtId="0" xfId="0" applyBorder="1" applyFill="1" applyFont="1"/>
    <xf borderId="2" fillId="4" fontId="6" numFmtId="164" xfId="0" applyAlignment="1" applyBorder="1" applyFill="1" applyFont="1" applyNumberFormat="1">
      <alignment readingOrder="0"/>
    </xf>
    <xf borderId="2" fillId="4" fontId="6" numFmtId="164" xfId="0" applyBorder="1" applyFont="1" applyNumberFormat="1"/>
    <xf borderId="0" fillId="0" fontId="6" numFmtId="164" xfId="0" applyFont="1" applyNumberFormat="1"/>
    <xf borderId="0" fillId="0" fontId="2" numFmtId="0" xfId="0" applyAlignment="1" applyFont="1">
      <alignment readingOrder="0"/>
    </xf>
    <xf borderId="1" fillId="5" fontId="7" numFmtId="0" xfId="0" applyBorder="1" applyFill="1" applyFont="1"/>
    <xf borderId="1" fillId="5" fontId="7" numFmtId="164" xfId="0" applyAlignment="1" applyBorder="1" applyFont="1" applyNumberFormat="1">
      <alignment readingOrder="0"/>
    </xf>
    <xf borderId="1" fillId="5" fontId="7" numFmtId="164" xfId="0" applyBorder="1" applyFont="1" applyNumberFormat="1"/>
    <xf borderId="2" fillId="3" fontId="5" numFmtId="0" xfId="0" applyAlignment="1" applyBorder="1" applyFont="1">
      <alignment readingOrder="0"/>
    </xf>
    <xf borderId="0" fillId="0" fontId="6" numFmtId="164" xfId="0" applyAlignment="1" applyFont="1" applyNumberFormat="1">
      <alignment readingOrder="0"/>
    </xf>
    <xf borderId="0" fillId="0" fontId="8" numFmtId="0" xfId="0" applyFont="1"/>
    <xf borderId="0" fillId="0" fontId="5" numFmtId="0" xfId="0" applyFont="1"/>
    <xf borderId="0" fillId="0" fontId="6" numFmtId="165" xfId="0" applyFont="1" applyNumberFormat="1"/>
    <xf borderId="0" fillId="0" fontId="6" numFmtId="166" xfId="0" applyFont="1" applyNumberFormat="1"/>
    <xf borderId="0" fillId="0" fontId="6" numFmtId="9" xfId="0" applyAlignment="1" applyFont="1" applyNumberFormat="1">
      <alignment readingOrder="0"/>
    </xf>
    <xf borderId="0" fillId="0" fontId="6" numFmtId="9" xfId="0" applyFont="1" applyNumberFormat="1"/>
    <xf borderId="2" fillId="6" fontId="6" numFmtId="166" xfId="0" applyBorder="1" applyFill="1" applyFont="1" applyNumberFormat="1"/>
    <xf borderId="2" fillId="6" fontId="6" numFmtId="0" xfId="0" applyAlignment="1" applyBorder="1" applyFont="1">
      <alignment readingOrder="0"/>
    </xf>
    <xf borderId="2" fillId="6" fontId="6" numFmtId="164" xfId="0" applyAlignment="1" applyBorder="1" applyFont="1" applyNumberFormat="1">
      <alignment readingOrder="0"/>
    </xf>
    <xf borderId="2" fillId="6" fontId="6" numFmtId="10" xfId="0" applyAlignment="1" applyBorder="1" applyFont="1" applyNumberFormat="1">
      <alignment readingOrder="0"/>
    </xf>
    <xf borderId="2" fillId="6" fontId="6" numFmtId="0" xfId="0" applyBorder="1" applyFont="1"/>
    <xf borderId="2" fillId="6" fontId="6" numFmtId="164" xfId="0" applyBorder="1" applyFont="1" applyNumberFormat="1"/>
    <xf borderId="1" fillId="2" fontId="4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readingOrder="0"/>
    </xf>
    <xf borderId="0" fillId="0" fontId="2" numFmtId="164" xfId="0" applyFont="1" applyNumberFormat="1"/>
    <xf borderId="0" fillId="0" fontId="10" numFmtId="0" xfId="0" applyAlignment="1" applyFont="1">
      <alignment horizontal="right"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10" numFmtId="167" xfId="0" applyAlignment="1" applyFont="1" applyNumberFormat="1">
      <alignment horizontal="right" readingOrder="0"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0" fontId="10" numFmtId="0" xfId="0" applyAlignment="1" applyFont="1">
      <alignment horizontal="center" readingOrder="0" shrinkToFit="0" vertical="bottom" wrapText="0"/>
    </xf>
    <xf borderId="2" fillId="7" fontId="6" numFmtId="0" xfId="0" applyBorder="1" applyFill="1" applyFont="1"/>
    <xf borderId="2" fillId="7" fontId="6" numFmtId="0" xfId="0" applyAlignment="1" applyBorder="1" applyFont="1">
      <alignment readingOrder="0"/>
    </xf>
  </cellXfs>
  <cellStyles count="1">
    <cellStyle xfId="0" name="Normal" builtinId="0"/>
  </cellStyles>
  <dxfs count="2">
    <dxf>
      <font>
        <b/>
        <color rgb="FF2E7D32"/>
      </font>
      <fill>
        <patternFill patternType="none"/>
      </fill>
      <border/>
    </dxf>
    <dxf>
      <font>
        <b/>
        <color rgb="FFC0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Cash Flow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2E7D32"/>
            </a:solidFill>
            <a:ln cmpd="sng">
              <a:noFill/>
            </a:ln>
          </c:spPr>
          <c:cat>
            <c:strRef>
              <c:f>Charts!$A$5:$A$8</c:f>
            </c:strRef>
          </c:cat>
          <c:val>
            <c:numRef>
              <c:f>Charts!$B$5:$B$8</c:f>
              <c:numCache/>
            </c:numRef>
          </c:val>
        </c:ser>
        <c:ser>
          <c:idx val="1"/>
          <c:order val="1"/>
          <c:spPr>
            <a:solidFill>
              <a:srgbClr val="C00000"/>
            </a:solidFill>
            <a:ln cmpd="sng">
              <a:noFill/>
            </a:ln>
          </c:spPr>
          <c:cat>
            <c:strRef>
              <c:f>Charts!$A$5:$A$8</c:f>
            </c:strRef>
          </c:cat>
          <c:val>
            <c:numRef>
              <c:f>Charts!$C$5:$C$8</c:f>
              <c:numCache/>
            </c:numRef>
          </c:val>
        </c:ser>
        <c:axId val="1585165011"/>
        <c:axId val="1065133208"/>
      </c:barChart>
      <c:lineChart>
        <c:ser>
          <c:idx val="2"/>
          <c:order val="2"/>
          <c:spPr>
            <a:ln cmpd="sng" w="28575">
              <a:solidFill>
                <a:srgbClr val="1F4E78"/>
              </a:solidFill>
            </a:ln>
          </c:spPr>
          <c:marker>
            <c:symbol val="none"/>
          </c:marker>
          <c:cat>
            <c:strRef>
              <c:f>Charts!$A$5:$A$8</c:f>
            </c:strRef>
          </c:cat>
          <c:val>
            <c:numRef>
              <c:f>Charts!$D$5:$D$8</c:f>
              <c:numCache/>
            </c:numRef>
          </c:val>
          <c:smooth val="0"/>
        </c:ser>
        <c:ser>
          <c:idx val="3"/>
          <c:order val="3"/>
          <c:spPr>
            <a:ln cmpd="sng">
              <a:solidFill>
                <a:srgbClr val="8064A2"/>
              </a:solidFill>
            </a:ln>
          </c:spPr>
          <c:marker>
            <c:symbol val="none"/>
          </c:marker>
          <c:cat>
            <c:strRef>
              <c:f>Charts!$A$5:$A$8</c:f>
            </c:strRef>
          </c:cat>
          <c:val>
            <c:numRef>
              <c:f>Charts!$E$5:$E$8</c:f>
              <c:numCache/>
            </c:numRef>
          </c:val>
          <c:smooth val="0"/>
        </c:ser>
        <c:ser>
          <c:idx val="4"/>
          <c:order val="4"/>
          <c:spPr>
            <a:ln cmpd="sng">
              <a:solidFill>
                <a:srgbClr val="4BACC6"/>
              </a:solidFill>
            </a:ln>
          </c:spPr>
          <c:marker>
            <c:symbol val="none"/>
          </c:marker>
          <c:cat>
            <c:strRef>
              <c:f>Charts!$A$5:$A$8</c:f>
            </c:strRef>
          </c:cat>
          <c:val>
            <c:numRef>
              <c:f>Charts!$F$5:$F$8</c:f>
              <c:numCache/>
            </c:numRef>
          </c:val>
          <c:smooth val="0"/>
        </c:ser>
        <c:ser>
          <c:idx val="5"/>
          <c:order val="5"/>
          <c:spPr>
            <a:ln cmpd="sng">
              <a:solidFill>
                <a:srgbClr val="F79646"/>
              </a:solidFill>
            </a:ln>
          </c:spPr>
          <c:marker>
            <c:symbol val="none"/>
          </c:marker>
          <c:cat>
            <c:strRef>
              <c:f>Charts!$A$5:$A$8</c:f>
            </c:strRef>
          </c:cat>
          <c:val>
            <c:numRef>
              <c:f>Charts!$G$5:$G$8</c:f>
              <c:numCache/>
            </c:numRef>
          </c:val>
          <c:smooth val="0"/>
        </c:ser>
        <c:ser>
          <c:idx val="6"/>
          <c:order val="6"/>
          <c:spPr>
            <a:ln cmpd="sng">
              <a:solidFill>
                <a:srgbClr val="84A7D1"/>
              </a:solidFill>
            </a:ln>
          </c:spPr>
          <c:marker>
            <c:symbol val="none"/>
          </c:marker>
          <c:cat>
            <c:strRef>
              <c:f>Charts!$A$5:$A$8</c:f>
            </c:strRef>
          </c:cat>
          <c:val>
            <c:numRef>
              <c:f>Charts!$H$5:$H$8</c:f>
              <c:numCache/>
            </c:numRef>
          </c:val>
          <c:smooth val="0"/>
        </c:ser>
        <c:ser>
          <c:idx val="7"/>
          <c:order val="7"/>
          <c:spPr>
            <a:ln cmpd="sng">
              <a:solidFill>
                <a:srgbClr val="D38582"/>
              </a:solidFill>
            </a:ln>
          </c:spPr>
          <c:marker>
            <c:symbol val="none"/>
          </c:marker>
          <c:cat>
            <c:strRef>
              <c:f>Charts!$A$5:$A$8</c:f>
            </c:strRef>
          </c:cat>
          <c:val>
            <c:numRef>
              <c:f>Charts!$I$5:$I$8</c:f>
              <c:numCache/>
            </c:numRef>
          </c:val>
          <c:smooth val="0"/>
        </c:ser>
        <c:ser>
          <c:idx val="8"/>
          <c:order val="8"/>
          <c:spPr>
            <a:ln cmpd="sng">
              <a:solidFill>
                <a:srgbClr val="B9CF8B"/>
              </a:solidFill>
            </a:ln>
          </c:spPr>
          <c:marker>
            <c:symbol val="none"/>
          </c:marker>
          <c:cat>
            <c:strRef>
              <c:f>Charts!$A$5:$A$8</c:f>
            </c:strRef>
          </c:cat>
          <c:val>
            <c:numRef>
              <c:f>Charts!$J$5:$J$8</c:f>
              <c:numCache/>
            </c:numRef>
          </c:val>
          <c:smooth val="0"/>
        </c:ser>
        <c:ser>
          <c:idx val="9"/>
          <c:order val="9"/>
          <c:spPr>
            <a:ln cmpd="sng">
              <a:solidFill>
                <a:srgbClr val="A693BE"/>
              </a:solidFill>
            </a:ln>
          </c:spPr>
          <c:marker>
            <c:symbol val="none"/>
          </c:marker>
          <c:cat>
            <c:strRef>
              <c:f>Charts!$A$5:$A$8</c:f>
            </c:strRef>
          </c:cat>
          <c:val>
            <c:numRef>
              <c:f>Charts!$K$5:$K$8</c:f>
              <c:numCache/>
            </c:numRef>
          </c:val>
          <c:smooth val="0"/>
        </c:ser>
        <c:ser>
          <c:idx val="10"/>
          <c:order val="10"/>
          <c:spPr>
            <a:ln cmpd="sng">
              <a:solidFill>
                <a:srgbClr val="81C5D7"/>
              </a:solidFill>
            </a:ln>
          </c:spPr>
          <c:marker>
            <c:symbol val="none"/>
          </c:marker>
          <c:cat>
            <c:strRef>
              <c:f>Charts!$A$5:$A$8</c:f>
            </c:strRef>
          </c:cat>
          <c:val>
            <c:numRef>
              <c:f>Charts!$L$5:$L$8</c:f>
              <c:numCache/>
            </c:numRef>
          </c:val>
          <c:smooth val="0"/>
        </c:ser>
        <c:ser>
          <c:idx val="11"/>
          <c:order val="11"/>
          <c:spPr>
            <a:ln cmpd="sng">
              <a:solidFill>
                <a:srgbClr val="F9B67E"/>
              </a:solidFill>
            </a:ln>
          </c:spPr>
          <c:marker>
            <c:symbol val="none"/>
          </c:marker>
          <c:cat>
            <c:strRef>
              <c:f>Charts!$A$5:$A$8</c:f>
            </c:strRef>
          </c:cat>
          <c:val>
            <c:numRef>
              <c:f>Charts!$M$5:$M$8</c:f>
              <c:numCache/>
            </c:numRef>
          </c:val>
          <c:smooth val="0"/>
        </c:ser>
        <c:axId val="1585165011"/>
        <c:axId val="1065133208"/>
      </c:lineChart>
      <c:catAx>
        <c:axId val="15851650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5133208"/>
      </c:catAx>
      <c:valAx>
        <c:axId val="10651332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516501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Variable Spending by Category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'CC Detail'!$A$4:$A$17</c:f>
            </c:strRef>
          </c:cat>
          <c:val>
            <c:numRef>
              <c:f>'CC Detail'!$B$4:$B$17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'CC Detail'!$A$4:$A$17</c:f>
            </c:strRef>
          </c:cat>
          <c:val>
            <c:numRef>
              <c:f>'CC Detail'!$C$4:$C$17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'CC Detail'!$A$4:$A$17</c:f>
            </c:strRef>
          </c:cat>
          <c:val>
            <c:numRef>
              <c:f>'CC Detail'!$D$4:$D$17</c:f>
              <c:numCache/>
            </c:numRef>
          </c:val>
        </c:ser>
        <c:ser>
          <c:idx val="3"/>
          <c:order val="3"/>
          <c:spPr>
            <a:solidFill>
              <a:schemeClr val="accent4"/>
            </a:solidFill>
            <a:ln cmpd="sng">
              <a:noFill/>
            </a:ln>
          </c:spPr>
          <c:cat>
            <c:strRef>
              <c:f>'CC Detail'!$A$4:$A$17</c:f>
            </c:strRef>
          </c:cat>
          <c:val>
            <c:numRef>
              <c:f>'CC Detail'!$E$4:$E$17</c:f>
              <c:numCache/>
            </c:numRef>
          </c:val>
        </c:ser>
        <c:ser>
          <c:idx val="4"/>
          <c:order val="4"/>
          <c:spPr>
            <a:solidFill>
              <a:schemeClr val="accent5"/>
            </a:solidFill>
            <a:ln cmpd="sng">
              <a:noFill/>
            </a:ln>
          </c:spPr>
          <c:cat>
            <c:strRef>
              <c:f>'CC Detail'!$A$4:$A$17</c:f>
            </c:strRef>
          </c:cat>
          <c:val>
            <c:numRef>
              <c:f>'CC Detail'!$F$4:$F$17</c:f>
              <c:numCache/>
            </c:numRef>
          </c:val>
        </c:ser>
        <c:ser>
          <c:idx val="5"/>
          <c:order val="5"/>
          <c:spPr>
            <a:solidFill>
              <a:schemeClr val="accent6"/>
            </a:solidFill>
            <a:ln cmpd="sng">
              <a:noFill/>
            </a:ln>
          </c:spPr>
          <c:cat>
            <c:strRef>
              <c:f>'CC Detail'!$A$4:$A$17</c:f>
            </c:strRef>
          </c:cat>
          <c:val>
            <c:numRef>
              <c:f>'CC Detail'!$G$4:$G$17</c:f>
              <c:numCache/>
            </c:numRef>
          </c:val>
        </c:ser>
        <c:ser>
          <c:idx val="6"/>
          <c:order val="6"/>
          <c:cat>
            <c:strRef>
              <c:f>'CC Detail'!$A$4:$A$17</c:f>
            </c:strRef>
          </c:cat>
          <c:val>
            <c:numRef>
              <c:f>'CC Detail'!$H$4:$H$17</c:f>
              <c:numCache/>
            </c:numRef>
          </c:val>
        </c:ser>
        <c:ser>
          <c:idx val="7"/>
          <c:order val="7"/>
          <c:cat>
            <c:strRef>
              <c:f>'CC Detail'!$A$4:$A$17</c:f>
            </c:strRef>
          </c:cat>
          <c:val>
            <c:numRef>
              <c:f>'CC Detail'!$I$4:$I$17</c:f>
              <c:numCache/>
            </c:numRef>
          </c:val>
        </c:ser>
        <c:ser>
          <c:idx val="8"/>
          <c:order val="8"/>
          <c:cat>
            <c:strRef>
              <c:f>'CC Detail'!$A$4:$A$17</c:f>
            </c:strRef>
          </c:cat>
          <c:val>
            <c:numRef>
              <c:f>'CC Detail'!$J$4:$J$17</c:f>
              <c:numCache/>
            </c:numRef>
          </c:val>
        </c:ser>
        <c:ser>
          <c:idx val="9"/>
          <c:order val="9"/>
          <c:cat>
            <c:strRef>
              <c:f>'CC Detail'!$A$4:$A$17</c:f>
            </c:strRef>
          </c:cat>
          <c:val>
            <c:numRef>
              <c:f>'CC Detail'!$K$4:$K$17</c:f>
              <c:numCache/>
            </c:numRef>
          </c:val>
        </c:ser>
        <c:ser>
          <c:idx val="10"/>
          <c:order val="10"/>
          <c:cat>
            <c:strRef>
              <c:f>'CC Detail'!$A$4:$A$17</c:f>
            </c:strRef>
          </c:cat>
          <c:val>
            <c:numRef>
              <c:f>'CC Detail'!$L$4:$L$17</c:f>
              <c:numCache/>
            </c:numRef>
          </c:val>
        </c:ser>
        <c:ser>
          <c:idx val="11"/>
          <c:order val="11"/>
          <c:cat>
            <c:strRef>
              <c:f>'CC Detail'!$A$4:$A$17</c:f>
            </c:strRef>
          </c:cat>
          <c:val>
            <c:numRef>
              <c:f>'CC Detail'!$M$4:$M$17</c:f>
              <c:numCache/>
            </c:numRef>
          </c:val>
        </c:ser>
        <c:overlap val="100"/>
        <c:axId val="885572012"/>
        <c:axId val="783882657"/>
      </c:barChart>
      <c:catAx>
        <c:axId val="8855720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3882657"/>
      </c:catAx>
      <c:valAx>
        <c:axId val="7838826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55720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Solar Payback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Charts!$A$29:$A$31</c:f>
            </c:strRef>
          </c:cat>
          <c:val>
            <c:numRef>
              <c:f>Charts!$B$29:$B$31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Charts!$A$29:$A$31</c:f>
            </c:strRef>
          </c:cat>
          <c:val>
            <c:numRef>
              <c:f>Charts!$C$29:$C$31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Charts!$A$29:$A$31</c:f>
            </c:strRef>
          </c:cat>
          <c:val>
            <c:numRef>
              <c:f>Charts!$D$29:$D$31</c:f>
              <c:numCache/>
            </c:numRef>
          </c:val>
          <c:smooth val="0"/>
        </c:ser>
        <c:ser>
          <c:idx val="3"/>
          <c:order val="3"/>
          <c:spPr>
            <a:ln cmpd="sng">
              <a:solidFill>
                <a:srgbClr val="8064A2"/>
              </a:solidFill>
            </a:ln>
          </c:spPr>
          <c:marker>
            <c:symbol val="none"/>
          </c:marker>
          <c:cat>
            <c:strRef>
              <c:f>Charts!$A$29:$A$31</c:f>
            </c:strRef>
          </c:cat>
          <c:val>
            <c:numRef>
              <c:f>Charts!$E$29:$E$31</c:f>
              <c:numCache/>
            </c:numRef>
          </c:val>
          <c:smooth val="0"/>
        </c:ser>
        <c:ser>
          <c:idx val="4"/>
          <c:order val="4"/>
          <c:spPr>
            <a:ln cmpd="sng">
              <a:solidFill>
                <a:srgbClr val="4BACC6"/>
              </a:solidFill>
            </a:ln>
          </c:spPr>
          <c:marker>
            <c:symbol val="none"/>
          </c:marker>
          <c:cat>
            <c:strRef>
              <c:f>Charts!$A$29:$A$31</c:f>
            </c:strRef>
          </c:cat>
          <c:val>
            <c:numRef>
              <c:f>Charts!$F$29:$F$31</c:f>
              <c:numCache/>
            </c:numRef>
          </c:val>
          <c:smooth val="0"/>
        </c:ser>
        <c:ser>
          <c:idx val="5"/>
          <c:order val="5"/>
          <c:spPr>
            <a:ln cmpd="sng">
              <a:solidFill>
                <a:srgbClr val="F79646"/>
              </a:solidFill>
            </a:ln>
          </c:spPr>
          <c:marker>
            <c:symbol val="none"/>
          </c:marker>
          <c:cat>
            <c:strRef>
              <c:f>Charts!$A$29:$A$31</c:f>
            </c:strRef>
          </c:cat>
          <c:val>
            <c:numRef>
              <c:f>Charts!$G$29:$G$31</c:f>
              <c:numCache/>
            </c:numRef>
          </c:val>
          <c:smooth val="0"/>
        </c:ser>
        <c:ser>
          <c:idx val="6"/>
          <c:order val="6"/>
          <c:spPr>
            <a:ln cmpd="sng">
              <a:solidFill>
                <a:srgbClr val="84A7D1"/>
              </a:solidFill>
            </a:ln>
          </c:spPr>
          <c:marker>
            <c:symbol val="none"/>
          </c:marker>
          <c:cat>
            <c:strRef>
              <c:f>Charts!$A$29:$A$31</c:f>
            </c:strRef>
          </c:cat>
          <c:val>
            <c:numRef>
              <c:f>Charts!$H$29:$H$31</c:f>
              <c:numCache/>
            </c:numRef>
          </c:val>
          <c:smooth val="0"/>
        </c:ser>
        <c:ser>
          <c:idx val="7"/>
          <c:order val="7"/>
          <c:spPr>
            <a:ln cmpd="sng">
              <a:solidFill>
                <a:srgbClr val="D38582"/>
              </a:solidFill>
            </a:ln>
          </c:spPr>
          <c:marker>
            <c:symbol val="none"/>
          </c:marker>
          <c:cat>
            <c:strRef>
              <c:f>Charts!$A$29:$A$31</c:f>
            </c:strRef>
          </c:cat>
          <c:val>
            <c:numRef>
              <c:f>Charts!$I$29:$I$31</c:f>
              <c:numCache/>
            </c:numRef>
          </c:val>
          <c:smooth val="0"/>
        </c:ser>
        <c:ser>
          <c:idx val="8"/>
          <c:order val="8"/>
          <c:spPr>
            <a:ln cmpd="sng">
              <a:solidFill>
                <a:srgbClr val="B9CF8B"/>
              </a:solidFill>
            </a:ln>
          </c:spPr>
          <c:marker>
            <c:symbol val="none"/>
          </c:marker>
          <c:cat>
            <c:strRef>
              <c:f>Charts!$A$29:$A$31</c:f>
            </c:strRef>
          </c:cat>
          <c:val>
            <c:numRef>
              <c:f>Charts!$J$29:$J$31</c:f>
              <c:numCache/>
            </c:numRef>
          </c:val>
          <c:smooth val="0"/>
        </c:ser>
        <c:ser>
          <c:idx val="9"/>
          <c:order val="9"/>
          <c:spPr>
            <a:ln cmpd="sng">
              <a:solidFill>
                <a:srgbClr val="A693BE"/>
              </a:solidFill>
            </a:ln>
          </c:spPr>
          <c:marker>
            <c:symbol val="none"/>
          </c:marker>
          <c:cat>
            <c:strRef>
              <c:f>Charts!$A$29:$A$31</c:f>
            </c:strRef>
          </c:cat>
          <c:val>
            <c:numRef>
              <c:f>Charts!$K$29:$K$31</c:f>
              <c:numCache/>
            </c:numRef>
          </c:val>
          <c:smooth val="0"/>
        </c:ser>
        <c:ser>
          <c:idx val="10"/>
          <c:order val="10"/>
          <c:spPr>
            <a:ln cmpd="sng">
              <a:solidFill>
                <a:srgbClr val="81C5D7"/>
              </a:solidFill>
            </a:ln>
          </c:spPr>
          <c:marker>
            <c:symbol val="none"/>
          </c:marker>
          <c:cat>
            <c:strRef>
              <c:f>Charts!$A$29:$A$31</c:f>
            </c:strRef>
          </c:cat>
          <c:val>
            <c:numRef>
              <c:f>Charts!$L$29:$L$31</c:f>
              <c:numCache/>
            </c:numRef>
          </c:val>
          <c:smooth val="0"/>
        </c:ser>
        <c:ser>
          <c:idx val="11"/>
          <c:order val="11"/>
          <c:spPr>
            <a:ln cmpd="sng">
              <a:solidFill>
                <a:srgbClr val="F9B67E"/>
              </a:solidFill>
            </a:ln>
          </c:spPr>
          <c:marker>
            <c:symbol val="none"/>
          </c:marker>
          <c:cat>
            <c:strRef>
              <c:f>Charts!$A$29:$A$31</c:f>
            </c:strRef>
          </c:cat>
          <c:val>
            <c:numRef>
              <c:f>Charts!$M$29:$M$31</c:f>
              <c:numCache/>
            </c:numRef>
          </c:val>
          <c:smooth val="0"/>
        </c:ser>
        <c:axId val="1982504912"/>
        <c:axId val="1240912482"/>
      </c:lineChart>
      <c:catAx>
        <c:axId val="19825049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0912482"/>
      </c:catAx>
      <c:valAx>
        <c:axId val="12409124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2504912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Net Worth Trend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Charts!$A$46:$A$47</c:f>
            </c:strRef>
          </c:cat>
          <c:val>
            <c:numRef>
              <c:f>Charts!$B$46:$B$47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Charts!$A$46:$A$47</c:f>
            </c:strRef>
          </c:cat>
          <c:val>
            <c:numRef>
              <c:f>Charts!$C$46:$C$47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Charts!$A$46:$A$47</c:f>
            </c:strRef>
          </c:cat>
          <c:val>
            <c:numRef>
              <c:f>Charts!$D$46:$D$47</c:f>
              <c:numCache/>
            </c:numRef>
          </c:val>
          <c:smooth val="0"/>
        </c:ser>
        <c:ser>
          <c:idx val="3"/>
          <c:order val="3"/>
          <c:spPr>
            <a:ln cmpd="sng">
              <a:solidFill>
                <a:srgbClr val="8064A2"/>
              </a:solidFill>
            </a:ln>
          </c:spPr>
          <c:marker>
            <c:symbol val="none"/>
          </c:marker>
          <c:cat>
            <c:strRef>
              <c:f>Charts!$A$46:$A$47</c:f>
            </c:strRef>
          </c:cat>
          <c:val>
            <c:numRef>
              <c:f>Charts!$E$46:$E$47</c:f>
              <c:numCache/>
            </c:numRef>
          </c:val>
          <c:smooth val="0"/>
        </c:ser>
        <c:ser>
          <c:idx val="4"/>
          <c:order val="4"/>
          <c:spPr>
            <a:ln cmpd="sng">
              <a:solidFill>
                <a:srgbClr val="4BACC6"/>
              </a:solidFill>
            </a:ln>
          </c:spPr>
          <c:marker>
            <c:symbol val="none"/>
          </c:marker>
          <c:cat>
            <c:strRef>
              <c:f>Charts!$A$46:$A$47</c:f>
            </c:strRef>
          </c:cat>
          <c:val>
            <c:numRef>
              <c:f>Charts!$F$46:$F$47</c:f>
              <c:numCache/>
            </c:numRef>
          </c:val>
          <c:smooth val="0"/>
        </c:ser>
        <c:ser>
          <c:idx val="5"/>
          <c:order val="5"/>
          <c:spPr>
            <a:ln cmpd="sng">
              <a:solidFill>
                <a:srgbClr val="F79646"/>
              </a:solidFill>
            </a:ln>
          </c:spPr>
          <c:marker>
            <c:symbol val="none"/>
          </c:marker>
          <c:cat>
            <c:strRef>
              <c:f>Charts!$A$46:$A$47</c:f>
            </c:strRef>
          </c:cat>
          <c:val>
            <c:numRef>
              <c:f>Charts!$G$46:$G$47</c:f>
              <c:numCache/>
            </c:numRef>
          </c:val>
          <c:smooth val="0"/>
        </c:ser>
        <c:ser>
          <c:idx val="6"/>
          <c:order val="6"/>
          <c:spPr>
            <a:ln cmpd="sng">
              <a:solidFill>
                <a:srgbClr val="84A7D1"/>
              </a:solidFill>
            </a:ln>
          </c:spPr>
          <c:marker>
            <c:symbol val="none"/>
          </c:marker>
          <c:cat>
            <c:strRef>
              <c:f>Charts!$A$46:$A$47</c:f>
            </c:strRef>
          </c:cat>
          <c:val>
            <c:numRef>
              <c:f>Charts!$H$46:$H$47</c:f>
              <c:numCache/>
            </c:numRef>
          </c:val>
          <c:smooth val="0"/>
        </c:ser>
        <c:ser>
          <c:idx val="7"/>
          <c:order val="7"/>
          <c:spPr>
            <a:ln cmpd="sng">
              <a:solidFill>
                <a:srgbClr val="D38582"/>
              </a:solidFill>
            </a:ln>
          </c:spPr>
          <c:marker>
            <c:symbol val="none"/>
          </c:marker>
          <c:cat>
            <c:strRef>
              <c:f>Charts!$A$46:$A$47</c:f>
            </c:strRef>
          </c:cat>
          <c:val>
            <c:numRef>
              <c:f>Charts!$I$46:$I$47</c:f>
              <c:numCache/>
            </c:numRef>
          </c:val>
          <c:smooth val="0"/>
        </c:ser>
        <c:ser>
          <c:idx val="8"/>
          <c:order val="8"/>
          <c:spPr>
            <a:ln cmpd="sng">
              <a:solidFill>
                <a:srgbClr val="B9CF8B"/>
              </a:solidFill>
            </a:ln>
          </c:spPr>
          <c:marker>
            <c:symbol val="none"/>
          </c:marker>
          <c:cat>
            <c:strRef>
              <c:f>Charts!$A$46:$A$47</c:f>
            </c:strRef>
          </c:cat>
          <c:val>
            <c:numRef>
              <c:f>Charts!$J$46:$J$47</c:f>
              <c:numCache/>
            </c:numRef>
          </c:val>
          <c:smooth val="0"/>
        </c:ser>
        <c:ser>
          <c:idx val="9"/>
          <c:order val="9"/>
          <c:spPr>
            <a:ln cmpd="sng">
              <a:solidFill>
                <a:srgbClr val="A693BE"/>
              </a:solidFill>
            </a:ln>
          </c:spPr>
          <c:marker>
            <c:symbol val="none"/>
          </c:marker>
          <c:cat>
            <c:strRef>
              <c:f>Charts!$A$46:$A$47</c:f>
            </c:strRef>
          </c:cat>
          <c:val>
            <c:numRef>
              <c:f>Charts!$K$46:$K$47</c:f>
              <c:numCache/>
            </c:numRef>
          </c:val>
          <c:smooth val="0"/>
        </c:ser>
        <c:ser>
          <c:idx val="10"/>
          <c:order val="10"/>
          <c:spPr>
            <a:ln cmpd="sng">
              <a:solidFill>
                <a:srgbClr val="81C5D7"/>
              </a:solidFill>
            </a:ln>
          </c:spPr>
          <c:marker>
            <c:symbol val="none"/>
          </c:marker>
          <c:cat>
            <c:strRef>
              <c:f>Charts!$A$46:$A$47</c:f>
            </c:strRef>
          </c:cat>
          <c:val>
            <c:numRef>
              <c:f>Charts!$L$46:$L$47</c:f>
              <c:numCache/>
            </c:numRef>
          </c:val>
          <c:smooth val="0"/>
        </c:ser>
        <c:ser>
          <c:idx val="11"/>
          <c:order val="11"/>
          <c:spPr>
            <a:ln cmpd="sng">
              <a:solidFill>
                <a:srgbClr val="F9B67E"/>
              </a:solidFill>
            </a:ln>
          </c:spPr>
          <c:marker>
            <c:symbol val="none"/>
          </c:marker>
          <c:cat>
            <c:strRef>
              <c:f>Charts!$A$46:$A$47</c:f>
            </c:strRef>
          </c:cat>
          <c:val>
            <c:numRef>
              <c:f>Charts!$M$46:$M$47</c:f>
              <c:numCache/>
            </c:numRef>
          </c:val>
          <c:smooth val="0"/>
        </c:ser>
        <c:axId val="73091388"/>
        <c:axId val="262281641"/>
      </c:lineChart>
      <c:catAx>
        <c:axId val="730913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2281641"/>
      </c:catAx>
      <c:valAx>
        <c:axId val="2622816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09138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0</xdr:rowOff>
    </xdr:from>
    <xdr:ext cx="5715000" cy="35337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29</xdr:row>
      <xdr:rowOff>0</xdr:rowOff>
    </xdr:from>
    <xdr:ext cx="5715000" cy="35337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49</xdr:row>
      <xdr:rowOff>0</xdr:rowOff>
    </xdr:from>
    <xdr:ext cx="5715000" cy="353377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69</xdr:row>
      <xdr:rowOff>0</xdr:rowOff>
    </xdr:from>
    <xdr:ext cx="5715000" cy="353377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0.0"/>
    <col customWidth="1" min="2" max="2" width="8.43"/>
    <col customWidth="1" min="3" max="26" width="8.71"/>
  </cols>
  <sheetData>
    <row r="1">
      <c r="A1" s="1" t="s">
        <v>0</v>
      </c>
    </row>
    <row r="3">
      <c r="A3" s="2" t="s">
        <v>1</v>
      </c>
    </row>
    <row r="4">
      <c r="A4" s="2" t="s">
        <v>2</v>
      </c>
    </row>
    <row r="5">
      <c r="A5" s="2" t="s">
        <v>3</v>
      </c>
    </row>
    <row r="6">
      <c r="A6" s="2" t="s">
        <v>4</v>
      </c>
    </row>
    <row r="7">
      <c r="A7" s="2" t="s">
        <v>5</v>
      </c>
    </row>
    <row r="8">
      <c r="A8" s="2" t="s">
        <v>6</v>
      </c>
    </row>
    <row r="9">
      <c r="A9" s="2" t="s">
        <v>7</v>
      </c>
    </row>
    <row r="10">
      <c r="A10" s="2" t="s">
        <v>8</v>
      </c>
    </row>
    <row r="11">
      <c r="A11" s="2" t="s">
        <v>9</v>
      </c>
    </row>
    <row r="12">
      <c r="A12" s="2" t="s">
        <v>10</v>
      </c>
    </row>
    <row r="13">
      <c r="A13" s="2" t="s">
        <v>11</v>
      </c>
    </row>
    <row r="15">
      <c r="A15" s="2" t="s">
        <v>12</v>
      </c>
    </row>
    <row r="16">
      <c r="A16" s="2" t="s">
        <v>13</v>
      </c>
    </row>
    <row r="17">
      <c r="A17" s="2" t="s">
        <v>14</v>
      </c>
    </row>
    <row r="18">
      <c r="A18" s="2" t="s">
        <v>15</v>
      </c>
    </row>
    <row r="19">
      <c r="A19" s="2" t="s">
        <v>16</v>
      </c>
    </row>
    <row r="20">
      <c r="A20" s="2" t="s">
        <v>17</v>
      </c>
    </row>
    <row r="21" ht="15.75" customHeight="1">
      <c r="A21" s="2" t="s">
        <v>18</v>
      </c>
    </row>
    <row r="22" ht="15.75" customHeight="1"/>
    <row r="23" ht="15.75" customHeight="1">
      <c r="A23" s="2" t="s">
        <v>19</v>
      </c>
    </row>
    <row r="24" ht="15.75" customHeight="1">
      <c r="A24" s="2" t="s">
        <v>20</v>
      </c>
    </row>
    <row r="25" ht="15.75" customHeight="1">
      <c r="A25" s="2" t="s">
        <v>21</v>
      </c>
    </row>
    <row r="26" ht="15.75" customHeight="1">
      <c r="A26" s="2" t="s">
        <v>22</v>
      </c>
    </row>
    <row r="27" ht="15.75" customHeight="1">
      <c r="A27" s="2" t="s">
        <v>23</v>
      </c>
    </row>
    <row r="28" ht="15.75" customHeight="1">
      <c r="A28" s="2" t="s">
        <v>24</v>
      </c>
    </row>
    <row r="29" ht="15.75" customHeight="1">
      <c r="A29" s="2" t="s">
        <v>25</v>
      </c>
    </row>
    <row r="30" ht="15.75" customHeight="1">
      <c r="A30" s="2" t="s">
        <v>26</v>
      </c>
    </row>
    <row r="31" ht="15.75" customHeight="1">
      <c r="A31" s="2" t="s">
        <v>27</v>
      </c>
    </row>
    <row r="32" ht="15.75" customHeight="1">
      <c r="A32" s="2" t="s">
        <v>28</v>
      </c>
    </row>
    <row r="33" ht="15.75" customHeight="1">
      <c r="A33" s="2" t="s">
        <v>29</v>
      </c>
    </row>
    <row r="34" ht="15.75" customHeight="1"/>
    <row r="35" ht="15.75" customHeight="1">
      <c r="A35" s="2" t="s">
        <v>30</v>
      </c>
    </row>
    <row r="36" ht="15.75" customHeight="1">
      <c r="A36" s="2" t="s">
        <v>31</v>
      </c>
    </row>
    <row r="37" ht="15.75" customHeight="1">
      <c r="A37" s="2" t="s">
        <v>32</v>
      </c>
    </row>
    <row r="38" ht="15.75" customHeight="1">
      <c r="A38" s="2" t="s">
        <v>33</v>
      </c>
    </row>
    <row r="39" ht="15.75" customHeight="1">
      <c r="A39" s="2" t="s">
        <v>34</v>
      </c>
    </row>
    <row r="40" ht="15.75" customHeight="1">
      <c r="A40" s="2" t="s">
        <v>35</v>
      </c>
    </row>
    <row r="41" ht="15.75" customHeight="1">
      <c r="A41" s="2" t="s">
        <v>36</v>
      </c>
    </row>
    <row r="42" ht="15.75" customHeight="1"/>
    <row r="43" ht="15.75" customHeight="1">
      <c r="A43" s="2" t="s">
        <v>37</v>
      </c>
    </row>
    <row r="44" ht="15.75" customHeight="1">
      <c r="A44" s="2" t="s">
        <v>38</v>
      </c>
    </row>
    <row r="45" ht="15.75" customHeight="1">
      <c r="A45" s="2" t="s">
        <v>39</v>
      </c>
    </row>
    <row r="46" ht="15.75" customHeight="1">
      <c r="A46" s="2" t="s">
        <v>40</v>
      </c>
    </row>
    <row r="47" ht="15.75" customHeight="1">
      <c r="A47" s="2" t="s">
        <v>41</v>
      </c>
    </row>
    <row r="48" ht="15.75" customHeight="1">
      <c r="A48" s="2" t="s">
        <v>42</v>
      </c>
    </row>
    <row r="49" ht="15.75" customHeight="1">
      <c r="A49" s="2" t="s">
        <v>43</v>
      </c>
    </row>
    <row r="50" ht="15.75" customHeight="1">
      <c r="A50" s="2" t="s">
        <v>44</v>
      </c>
    </row>
    <row r="51" ht="15.75" customHeight="1">
      <c r="A51" s="2" t="s">
        <v>45</v>
      </c>
    </row>
    <row r="52" ht="15.75" customHeight="1">
      <c r="A52" s="2" t="s">
        <v>46</v>
      </c>
    </row>
    <row r="53" ht="15.75" customHeight="1"/>
    <row r="54" ht="15.75" customHeight="1">
      <c r="A54" s="2" t="s">
        <v>47</v>
      </c>
    </row>
    <row r="55" ht="15.75" customHeight="1">
      <c r="A55" s="2" t="s">
        <v>48</v>
      </c>
    </row>
    <row r="56" ht="15.75" customHeight="1">
      <c r="A56" s="2" t="s">
        <v>49</v>
      </c>
    </row>
    <row r="57" ht="15.75" customHeight="1">
      <c r="A57" s="2" t="s">
        <v>50</v>
      </c>
    </row>
    <row r="58" ht="15.75" customHeight="1">
      <c r="A58" s="2" t="s">
        <v>51</v>
      </c>
    </row>
    <row r="59" ht="15.75" customHeight="1">
      <c r="A59" s="2" t="s">
        <v>52</v>
      </c>
    </row>
    <row r="60" ht="15.75" customHeight="1">
      <c r="A60" s="2" t="s">
        <v>53</v>
      </c>
    </row>
    <row r="61" ht="15.75" customHeight="1">
      <c r="A61" s="2" t="s">
        <v>54</v>
      </c>
    </row>
    <row r="62" ht="15.75" customHeight="1"/>
    <row r="63" ht="15.75" customHeight="1">
      <c r="A63" s="2" t="s">
        <v>55</v>
      </c>
    </row>
    <row r="64" ht="15.75" customHeight="1">
      <c r="A64" s="2" t="s">
        <v>56</v>
      </c>
    </row>
    <row r="65" ht="15.75" customHeight="1">
      <c r="A65" s="2" t="s">
        <v>57</v>
      </c>
    </row>
    <row r="66" ht="15.75" customHeight="1">
      <c r="A66" s="2" t="s">
        <v>58</v>
      </c>
    </row>
    <row r="67" ht="15.75" customHeight="1">
      <c r="A67" s="2" t="s">
        <v>59</v>
      </c>
    </row>
    <row r="68" ht="15.75" customHeight="1">
      <c r="A68" s="2" t="s">
        <v>60</v>
      </c>
    </row>
    <row r="69" ht="15.75" customHeight="1">
      <c r="A69" s="2" t="s">
        <v>61</v>
      </c>
    </row>
    <row r="70" ht="15.75" customHeight="1">
      <c r="A70" s="2" t="s">
        <v>62</v>
      </c>
    </row>
    <row r="71" ht="15.75" customHeight="1">
      <c r="A71" s="2" t="s">
        <v>63</v>
      </c>
    </row>
    <row r="72" ht="15.75" customHeight="1">
      <c r="A72" s="2" t="s">
        <v>64</v>
      </c>
    </row>
    <row r="73" ht="15.75" customHeight="1">
      <c r="A73" s="2" t="s">
        <v>65</v>
      </c>
    </row>
    <row r="74" ht="15.75" customHeight="1"/>
    <row r="75" ht="15.75" customHeight="1">
      <c r="A75" s="2" t="s">
        <v>66</v>
      </c>
    </row>
    <row r="76" ht="15.75" customHeight="1">
      <c r="A76" s="2" t="s">
        <v>67</v>
      </c>
    </row>
    <row r="77" ht="15.75" customHeight="1">
      <c r="A77" s="2" t="s">
        <v>68</v>
      </c>
    </row>
    <row r="78" ht="15.75" customHeight="1">
      <c r="A78" s="2" t="s">
        <v>69</v>
      </c>
    </row>
    <row r="79" ht="15.75" customHeight="1">
      <c r="A79" s="2" t="s">
        <v>70</v>
      </c>
    </row>
    <row r="80" ht="15.75" customHeight="1">
      <c r="A80" s="2" t="s">
        <v>71</v>
      </c>
    </row>
    <row r="81" ht="15.75" customHeight="1">
      <c r="A81" s="2" t="s">
        <v>72</v>
      </c>
    </row>
    <row r="82" ht="15.75" customHeight="1">
      <c r="A82" s="2" t="s">
        <v>73</v>
      </c>
    </row>
    <row r="83" ht="15.75" customHeight="1">
      <c r="A83" s="2" t="s">
        <v>74</v>
      </c>
    </row>
    <row r="84" ht="15.75" customHeight="1"/>
    <row r="85" ht="15.75" customHeight="1">
      <c r="A85" s="2" t="s">
        <v>75</v>
      </c>
    </row>
    <row r="86" ht="15.75" customHeight="1">
      <c r="A86" s="2" t="s">
        <v>76</v>
      </c>
    </row>
    <row r="87" ht="15.75" customHeight="1">
      <c r="A87" s="2" t="s">
        <v>77</v>
      </c>
    </row>
    <row r="88" ht="15.75" customHeight="1">
      <c r="A88" s="2" t="s">
        <v>78</v>
      </c>
    </row>
    <row r="89" ht="15.75" customHeight="1">
      <c r="A89" s="2" t="s">
        <v>79</v>
      </c>
    </row>
    <row r="90" ht="15.75" customHeight="1">
      <c r="A90" s="2" t="s">
        <v>80</v>
      </c>
    </row>
    <row r="91" ht="15.75" customHeight="1">
      <c r="A91" s="2" t="s">
        <v>81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44.0"/>
    <col customWidth="1" min="2" max="15" width="12.0"/>
    <col customWidth="1" min="16" max="26" width="8.71"/>
  </cols>
  <sheetData>
    <row r="1">
      <c r="A1" s="3" t="s">
        <v>82</v>
      </c>
    </row>
    <row r="2">
      <c r="A2" s="4" t="s">
        <v>83</v>
      </c>
    </row>
    <row r="4">
      <c r="A4" s="5" t="s">
        <v>84</v>
      </c>
      <c r="B4" s="5" t="s">
        <v>85</v>
      </c>
      <c r="C4" s="5" t="s">
        <v>86</v>
      </c>
      <c r="D4" s="5" t="s">
        <v>87</v>
      </c>
      <c r="E4" s="5" t="s">
        <v>88</v>
      </c>
      <c r="F4" s="5" t="s">
        <v>89</v>
      </c>
      <c r="G4" s="5" t="s">
        <v>90</v>
      </c>
      <c r="H4" s="5" t="s">
        <v>91</v>
      </c>
      <c r="I4" s="5" t="s">
        <v>92</v>
      </c>
      <c r="J4" s="5" t="s">
        <v>93</v>
      </c>
      <c r="K4" s="5" t="s">
        <v>94</v>
      </c>
      <c r="L4" s="5" t="s">
        <v>95</v>
      </c>
      <c r="M4" s="5" t="s">
        <v>96</v>
      </c>
      <c r="N4" s="5" t="s">
        <v>97</v>
      </c>
      <c r="O4" s="5" t="s">
        <v>98</v>
      </c>
    </row>
    <row r="6">
      <c r="A6" s="6" t="s">
        <v>99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>
      <c r="A7" s="2" t="s">
        <v>100</v>
      </c>
      <c r="B7" s="7">
        <v>6470.41</v>
      </c>
      <c r="C7" s="7">
        <v>6627.84</v>
      </c>
      <c r="D7" s="7">
        <v>6470.42</v>
      </c>
      <c r="E7" s="7">
        <v>9705.26</v>
      </c>
      <c r="F7" s="7">
        <v>6526.38</v>
      </c>
      <c r="G7" s="8"/>
      <c r="H7" s="8"/>
      <c r="I7" s="8"/>
      <c r="J7" s="8"/>
      <c r="K7" s="8"/>
      <c r="L7" s="8"/>
      <c r="M7" s="8"/>
      <c r="N7" s="9">
        <f t="shared" ref="N7:N14" si="1">SUM(B7:M7)</f>
        <v>35800.31</v>
      </c>
      <c r="O7" s="9">
        <f t="shared" ref="O7:O14" si="2">IFERROR(AVERAGEIF(B7:M7,"&lt;&gt;0"),0)</f>
        <v>7160.062</v>
      </c>
    </row>
    <row r="8">
      <c r="A8" s="2" t="s">
        <v>101</v>
      </c>
      <c r="B8" s="7">
        <v>5179.07</v>
      </c>
      <c r="C8" s="7">
        <v>4551.25</v>
      </c>
      <c r="D8" s="7">
        <v>3827.99</v>
      </c>
      <c r="E8" s="7">
        <v>5427.48</v>
      </c>
      <c r="F8" s="7">
        <v>5989.4400000000005</v>
      </c>
      <c r="G8" s="8"/>
      <c r="H8" s="8"/>
      <c r="I8" s="8"/>
      <c r="J8" s="8"/>
      <c r="K8" s="8"/>
      <c r="L8" s="8"/>
      <c r="M8" s="8"/>
      <c r="N8" s="9">
        <f t="shared" si="1"/>
        <v>24975.23</v>
      </c>
      <c r="O8" s="9">
        <f t="shared" si="2"/>
        <v>4995.046</v>
      </c>
    </row>
    <row r="9">
      <c r="A9" s="2" t="s">
        <v>102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9">
        <f t="shared" si="1"/>
        <v>0</v>
      </c>
      <c r="O9" s="9">
        <f t="shared" si="2"/>
        <v>0</v>
      </c>
    </row>
    <row r="10">
      <c r="A10" s="2" t="s">
        <v>103</v>
      </c>
      <c r="B10" s="7">
        <v>155.29999999999998</v>
      </c>
      <c r="C10" s="7">
        <v>144.39999999999998</v>
      </c>
      <c r="D10" s="7">
        <v>87.26</v>
      </c>
      <c r="E10" s="7">
        <v>94.92999999999999</v>
      </c>
      <c r="F10" s="7">
        <v>79.5</v>
      </c>
      <c r="G10" s="8"/>
      <c r="H10" s="8"/>
      <c r="I10" s="8"/>
      <c r="J10" s="8"/>
      <c r="K10" s="8"/>
      <c r="L10" s="8"/>
      <c r="M10" s="8"/>
      <c r="N10" s="9">
        <f t="shared" si="1"/>
        <v>561.39</v>
      </c>
      <c r="O10" s="9">
        <f t="shared" si="2"/>
        <v>112.278</v>
      </c>
    </row>
    <row r="11">
      <c r="A11" s="10" t="s">
        <v>104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9">
        <f t="shared" si="1"/>
        <v>0</v>
      </c>
      <c r="O11" s="9">
        <f t="shared" si="2"/>
        <v>0</v>
      </c>
    </row>
    <row r="12">
      <c r="A12" s="2" t="s">
        <v>105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9">
        <f t="shared" si="1"/>
        <v>0</v>
      </c>
      <c r="O12" s="9">
        <f t="shared" si="2"/>
        <v>0</v>
      </c>
    </row>
    <row r="13">
      <c r="A13" s="2" t="s">
        <v>106</v>
      </c>
      <c r="B13" s="8"/>
      <c r="C13" s="8"/>
      <c r="D13" s="8"/>
      <c r="E13" s="7">
        <v>603.0</v>
      </c>
      <c r="F13" s="8"/>
      <c r="G13" s="8"/>
      <c r="H13" s="8"/>
      <c r="I13" s="8"/>
      <c r="J13" s="8"/>
      <c r="K13" s="8"/>
      <c r="L13" s="8"/>
      <c r="M13" s="8"/>
      <c r="N13" s="9">
        <f t="shared" si="1"/>
        <v>603</v>
      </c>
      <c r="O13" s="9">
        <f t="shared" si="2"/>
        <v>603</v>
      </c>
    </row>
    <row r="14">
      <c r="A14" s="2" t="s">
        <v>107</v>
      </c>
      <c r="B14" s="7">
        <v>72.01</v>
      </c>
      <c r="C14" s="7">
        <v>77.52999999999999</v>
      </c>
      <c r="D14" s="7">
        <v>43.519999999999996</v>
      </c>
      <c r="E14" s="7">
        <v>209.20999999999998</v>
      </c>
      <c r="F14" s="7">
        <v>177.6</v>
      </c>
      <c r="G14" s="7">
        <v>90.94999999999999</v>
      </c>
      <c r="H14" s="8"/>
      <c r="I14" s="8"/>
      <c r="J14" s="8"/>
      <c r="K14" s="8"/>
      <c r="L14" s="8"/>
      <c r="M14" s="8"/>
      <c r="N14" s="9">
        <f t="shared" si="1"/>
        <v>670.82</v>
      </c>
      <c r="O14" s="9">
        <f t="shared" si="2"/>
        <v>111.8033333</v>
      </c>
    </row>
    <row r="15">
      <c r="A15" s="11" t="s">
        <v>108</v>
      </c>
      <c r="B15" s="12">
        <f t="shared" ref="B15:N15" si="3">SUM(B7:B14)</f>
        <v>11876.79</v>
      </c>
      <c r="C15" s="12">
        <f t="shared" si="3"/>
        <v>11401.02</v>
      </c>
      <c r="D15" s="12">
        <f t="shared" si="3"/>
        <v>10429.19</v>
      </c>
      <c r="E15" s="12">
        <f t="shared" si="3"/>
        <v>16039.88</v>
      </c>
      <c r="F15" s="12">
        <f t="shared" si="3"/>
        <v>12772.92</v>
      </c>
      <c r="G15" s="12">
        <f t="shared" si="3"/>
        <v>90.95</v>
      </c>
      <c r="H15" s="12">
        <f t="shared" si="3"/>
        <v>0</v>
      </c>
      <c r="I15" s="12">
        <f t="shared" si="3"/>
        <v>0</v>
      </c>
      <c r="J15" s="12">
        <f t="shared" si="3"/>
        <v>0</v>
      </c>
      <c r="K15" s="12">
        <f t="shared" si="3"/>
        <v>0</v>
      </c>
      <c r="L15" s="12">
        <f t="shared" si="3"/>
        <v>0</v>
      </c>
      <c r="M15" s="12">
        <f t="shared" si="3"/>
        <v>0</v>
      </c>
      <c r="N15" s="13">
        <f t="shared" si="3"/>
        <v>62610.75</v>
      </c>
      <c r="O15" s="13">
        <f>IFERROR(N15/COUNTIF(B15:M15,"&gt;0"),0)</f>
        <v>10435.125</v>
      </c>
    </row>
    <row r="17">
      <c r="A17" s="6" t="s">
        <v>109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>
      <c r="A18" s="2" t="s">
        <v>110</v>
      </c>
      <c r="B18" s="7">
        <v>3288.58</v>
      </c>
      <c r="C18" s="7">
        <v>3288.58</v>
      </c>
      <c r="D18" s="7">
        <v>3288.58</v>
      </c>
      <c r="E18" s="7">
        <v>3288.58</v>
      </c>
      <c r="F18" s="7">
        <v>3288.58</v>
      </c>
      <c r="G18" s="8"/>
      <c r="H18" s="8"/>
      <c r="I18" s="8"/>
      <c r="J18" s="8"/>
      <c r="K18" s="8"/>
      <c r="L18" s="8"/>
      <c r="M18" s="8"/>
      <c r="N18" s="9">
        <f t="shared" ref="N18:N28" si="4">SUM(B18:M18)</f>
        <v>16442.9</v>
      </c>
      <c r="O18" s="9">
        <f t="shared" ref="O18:O28" si="5">IFERROR(AVERAGEIF(B18:M18,"&lt;&gt;0"),0)</f>
        <v>3288.58</v>
      </c>
    </row>
    <row r="19">
      <c r="A19" s="2" t="s">
        <v>111</v>
      </c>
      <c r="B19" s="7">
        <v>384.0</v>
      </c>
      <c r="C19" s="7">
        <v>384.0</v>
      </c>
      <c r="D19" s="7">
        <v>576.0</v>
      </c>
      <c r="E19" s="7">
        <v>384.0</v>
      </c>
      <c r="F19" s="7">
        <v>384.0</v>
      </c>
      <c r="G19" s="8"/>
      <c r="H19" s="8"/>
      <c r="I19" s="8"/>
      <c r="J19" s="8"/>
      <c r="K19" s="8"/>
      <c r="L19" s="8"/>
      <c r="M19" s="8"/>
      <c r="N19" s="9">
        <f t="shared" si="4"/>
        <v>2112</v>
      </c>
      <c r="O19" s="9">
        <f t="shared" si="5"/>
        <v>422.4</v>
      </c>
    </row>
    <row r="20">
      <c r="A20" s="2" t="s">
        <v>112</v>
      </c>
      <c r="B20" s="7">
        <v>416.0</v>
      </c>
      <c r="C20" s="7">
        <v>416.0</v>
      </c>
      <c r="D20" s="7">
        <v>624.0</v>
      </c>
      <c r="E20" s="7">
        <v>416.0</v>
      </c>
      <c r="F20" s="7">
        <v>416.0</v>
      </c>
      <c r="G20" s="8"/>
      <c r="H20" s="8"/>
      <c r="I20" s="8"/>
      <c r="J20" s="8"/>
      <c r="K20" s="8"/>
      <c r="L20" s="8"/>
      <c r="M20" s="8"/>
      <c r="N20" s="9">
        <f t="shared" si="4"/>
        <v>2288</v>
      </c>
      <c r="O20" s="9">
        <f t="shared" si="5"/>
        <v>457.6</v>
      </c>
    </row>
    <row r="21" ht="15.75" customHeight="1">
      <c r="A21" s="2" t="s">
        <v>113</v>
      </c>
      <c r="B21" s="7">
        <v>724.6</v>
      </c>
      <c r="C21" s="7">
        <v>684.34</v>
      </c>
      <c r="D21" s="8"/>
      <c r="E21" s="7">
        <v>1229.2</v>
      </c>
      <c r="F21" s="7">
        <v>421.6</v>
      </c>
      <c r="G21" s="8"/>
      <c r="H21" s="8"/>
      <c r="I21" s="8"/>
      <c r="J21" s="8"/>
      <c r="K21" s="8"/>
      <c r="L21" s="8"/>
      <c r="M21" s="8"/>
      <c r="N21" s="9">
        <f t="shared" si="4"/>
        <v>3059.74</v>
      </c>
      <c r="O21" s="9">
        <f t="shared" si="5"/>
        <v>764.935</v>
      </c>
    </row>
    <row r="22" ht="15.75" customHeight="1">
      <c r="A22" s="2" t="s">
        <v>114</v>
      </c>
      <c r="B22" s="8"/>
      <c r="C22" s="8"/>
      <c r="D22" s="8"/>
      <c r="E22" s="7">
        <v>1848.3</v>
      </c>
      <c r="F22" s="8"/>
      <c r="G22" s="8"/>
      <c r="H22" s="8"/>
      <c r="I22" s="8"/>
      <c r="J22" s="8"/>
      <c r="K22" s="8"/>
      <c r="L22" s="8"/>
      <c r="M22" s="8"/>
      <c r="N22" s="9">
        <f t="shared" si="4"/>
        <v>1848.3</v>
      </c>
      <c r="O22" s="9">
        <f t="shared" si="5"/>
        <v>1848.3</v>
      </c>
    </row>
    <row r="23" ht="15.75" customHeight="1">
      <c r="A23" s="2" t="s">
        <v>115</v>
      </c>
      <c r="B23" s="7">
        <v>46.19</v>
      </c>
      <c r="C23" s="7">
        <v>46.19</v>
      </c>
      <c r="D23" s="7">
        <v>46.19</v>
      </c>
      <c r="E23" s="7">
        <v>46.19</v>
      </c>
      <c r="F23" s="7">
        <v>46.19</v>
      </c>
      <c r="G23" s="8"/>
      <c r="H23" s="8"/>
      <c r="I23" s="8"/>
      <c r="J23" s="8"/>
      <c r="K23" s="8"/>
      <c r="L23" s="8"/>
      <c r="M23" s="8"/>
      <c r="N23" s="9">
        <f t="shared" si="4"/>
        <v>230.95</v>
      </c>
      <c r="O23" s="9">
        <f t="shared" si="5"/>
        <v>46.19</v>
      </c>
    </row>
    <row r="24" ht="15.75" customHeight="1">
      <c r="A24" s="2" t="s">
        <v>116</v>
      </c>
      <c r="B24" s="8"/>
      <c r="C24" s="7">
        <v>90.39</v>
      </c>
      <c r="D24" s="7">
        <v>90.39</v>
      </c>
      <c r="E24" s="7">
        <v>90.39</v>
      </c>
      <c r="F24" s="7">
        <v>90.39</v>
      </c>
      <c r="G24" s="8"/>
      <c r="H24" s="8"/>
      <c r="I24" s="8"/>
      <c r="J24" s="8"/>
      <c r="K24" s="8"/>
      <c r="L24" s="8"/>
      <c r="M24" s="8"/>
      <c r="N24" s="9">
        <f t="shared" si="4"/>
        <v>361.56</v>
      </c>
      <c r="O24" s="9">
        <f t="shared" si="5"/>
        <v>90.39</v>
      </c>
    </row>
    <row r="25" ht="15.75" customHeight="1">
      <c r="A25" s="2" t="s">
        <v>117</v>
      </c>
      <c r="B25" s="7">
        <v>54.99</v>
      </c>
      <c r="C25" s="7">
        <v>54.99</v>
      </c>
      <c r="D25" s="7">
        <v>54.99</v>
      </c>
      <c r="E25" s="7">
        <v>54.99</v>
      </c>
      <c r="F25" s="7">
        <v>54.99</v>
      </c>
      <c r="G25" s="8"/>
      <c r="H25" s="8"/>
      <c r="I25" s="8"/>
      <c r="J25" s="8"/>
      <c r="K25" s="8"/>
      <c r="L25" s="8"/>
      <c r="M25" s="8"/>
      <c r="N25" s="9">
        <f t="shared" si="4"/>
        <v>274.95</v>
      </c>
      <c r="O25" s="9">
        <f t="shared" si="5"/>
        <v>54.99</v>
      </c>
    </row>
    <row r="26" ht="15.75" customHeight="1">
      <c r="A26" s="2" t="s">
        <v>118</v>
      </c>
      <c r="B26" s="7">
        <v>138.05</v>
      </c>
      <c r="C26" s="7">
        <v>139.64</v>
      </c>
      <c r="D26" s="7">
        <v>139.64</v>
      </c>
      <c r="E26" s="7">
        <v>139.61</v>
      </c>
      <c r="F26" s="7">
        <v>139.61</v>
      </c>
      <c r="G26" s="8"/>
      <c r="H26" s="8"/>
      <c r="I26" s="8"/>
      <c r="J26" s="8"/>
      <c r="K26" s="8"/>
      <c r="L26" s="8"/>
      <c r="M26" s="8"/>
      <c r="N26" s="9">
        <f t="shared" si="4"/>
        <v>696.55</v>
      </c>
      <c r="O26" s="9">
        <f t="shared" si="5"/>
        <v>139.31</v>
      </c>
    </row>
    <row r="27" ht="15.75" customHeight="1">
      <c r="A27" s="10" t="s">
        <v>119</v>
      </c>
      <c r="B27" s="7">
        <v>100.0</v>
      </c>
      <c r="C27" s="8"/>
      <c r="D27" s="7">
        <v>200.0</v>
      </c>
      <c r="E27" s="7">
        <v>100.0</v>
      </c>
      <c r="F27" s="8"/>
      <c r="G27" s="8"/>
      <c r="H27" s="8"/>
      <c r="I27" s="8"/>
      <c r="J27" s="8"/>
      <c r="K27" s="8"/>
      <c r="L27" s="8"/>
      <c r="M27" s="8"/>
      <c r="N27" s="9">
        <f t="shared" si="4"/>
        <v>400</v>
      </c>
      <c r="O27" s="9">
        <f t="shared" si="5"/>
        <v>133.3333333</v>
      </c>
    </row>
    <row r="28" ht="15.75" customHeight="1">
      <c r="A28" s="2" t="s">
        <v>120</v>
      </c>
      <c r="B28" s="7">
        <v>100.0</v>
      </c>
      <c r="C28" s="7">
        <v>50.0</v>
      </c>
      <c r="D28" s="7">
        <v>200.0</v>
      </c>
      <c r="E28" s="7">
        <v>100.0</v>
      </c>
      <c r="F28" s="8"/>
      <c r="G28" s="7">
        <v>100.0</v>
      </c>
      <c r="H28" s="8"/>
      <c r="I28" s="8"/>
      <c r="J28" s="8"/>
      <c r="K28" s="8"/>
      <c r="L28" s="8"/>
      <c r="M28" s="8"/>
      <c r="N28" s="9">
        <f t="shared" si="4"/>
        <v>550</v>
      </c>
      <c r="O28" s="9">
        <f t="shared" si="5"/>
        <v>110</v>
      </c>
    </row>
    <row r="29" ht="15.75" customHeight="1">
      <c r="A29" s="11" t="s">
        <v>121</v>
      </c>
      <c r="B29" s="12">
        <v>50.0</v>
      </c>
      <c r="C29" s="12">
        <v>50.0</v>
      </c>
      <c r="D29" s="12">
        <v>50.0</v>
      </c>
      <c r="E29" s="12">
        <v>50.0</v>
      </c>
      <c r="F29" s="12">
        <v>50.0</v>
      </c>
      <c r="G29" s="12">
        <v>100.0</v>
      </c>
      <c r="H29" s="12">
        <v>0.0</v>
      </c>
      <c r="I29" s="12">
        <v>0.0</v>
      </c>
      <c r="J29" s="12">
        <v>0.0</v>
      </c>
      <c r="K29" s="12">
        <v>0.0</v>
      </c>
      <c r="L29" s="12">
        <v>0.0</v>
      </c>
      <c r="M29" s="12">
        <v>0.0</v>
      </c>
      <c r="N29" s="13">
        <f>SUM(N18:N28)</f>
        <v>28264.95</v>
      </c>
      <c r="O29" s="13">
        <f>IFERROR(N29/COUNTIF(B29:M29,"&gt;0"),0)</f>
        <v>4710.825</v>
      </c>
    </row>
    <row r="30" ht="15.75" customHeight="1"/>
    <row r="31" ht="15.75" customHeight="1">
      <c r="A31" s="14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ht="15.75" customHeight="1">
      <c r="A32" s="2" t="s">
        <v>123</v>
      </c>
      <c r="B32" s="7">
        <v>508.66</v>
      </c>
      <c r="C32" s="7">
        <v>528.66</v>
      </c>
      <c r="D32" s="7">
        <v>637.0</v>
      </c>
      <c r="E32" s="7">
        <v>405.83</v>
      </c>
      <c r="F32" s="7">
        <v>303.96</v>
      </c>
      <c r="G32" s="7">
        <v>223.28</v>
      </c>
      <c r="H32" s="8"/>
      <c r="I32" s="8"/>
      <c r="J32" s="8"/>
      <c r="K32" s="8"/>
      <c r="L32" s="8"/>
      <c r="M32" s="8"/>
      <c r="N32" s="9">
        <f t="shared" ref="N32:N34" si="6">SUM(B32:M32)</f>
        <v>2607.39</v>
      </c>
      <c r="O32" s="9">
        <f t="shared" ref="O32:O34" si="7">IFERROR(AVERAGEIF(B32:M32,"&lt;&gt;0"),0)</f>
        <v>434.565</v>
      </c>
    </row>
    <row r="33" ht="15.75" customHeight="1">
      <c r="A33" s="2" t="s">
        <v>124</v>
      </c>
      <c r="B33" s="7">
        <v>189.8</v>
      </c>
      <c r="C33" s="7">
        <v>364.31</v>
      </c>
      <c r="D33" s="7">
        <v>351.64</v>
      </c>
      <c r="E33" s="7">
        <v>207.68</v>
      </c>
      <c r="F33" s="7">
        <v>194.51</v>
      </c>
      <c r="G33" s="7">
        <v>87.0</v>
      </c>
      <c r="H33" s="8"/>
      <c r="I33" s="8"/>
      <c r="J33" s="8"/>
      <c r="K33" s="8"/>
      <c r="L33" s="8"/>
      <c r="M33" s="8"/>
      <c r="N33" s="9">
        <f t="shared" si="6"/>
        <v>1394.94</v>
      </c>
      <c r="O33" s="9">
        <f t="shared" si="7"/>
        <v>232.49</v>
      </c>
    </row>
    <row r="34" ht="15.75" customHeight="1">
      <c r="A34" s="2" t="s">
        <v>125</v>
      </c>
      <c r="B34" s="7"/>
      <c r="C34" s="7"/>
      <c r="D34" s="7"/>
      <c r="E34" s="7"/>
      <c r="F34" s="7"/>
      <c r="G34" s="7"/>
      <c r="H34" s="8"/>
      <c r="I34" s="8"/>
      <c r="J34" s="8"/>
      <c r="K34" s="8"/>
      <c r="L34" s="8"/>
      <c r="M34" s="8"/>
      <c r="N34" s="9">
        <f t="shared" si="6"/>
        <v>0</v>
      </c>
      <c r="O34" s="9">
        <f t="shared" si="7"/>
        <v>0</v>
      </c>
    </row>
    <row r="35" ht="15.75" customHeight="1">
      <c r="A35" s="11" t="s">
        <v>126</v>
      </c>
      <c r="B35" s="12">
        <f t="shared" ref="B35:N35" si="8">SUM(B32:B34)</f>
        <v>698.46</v>
      </c>
      <c r="C35" s="12">
        <f t="shared" si="8"/>
        <v>892.97</v>
      </c>
      <c r="D35" s="12">
        <f t="shared" si="8"/>
        <v>988.64</v>
      </c>
      <c r="E35" s="12">
        <f t="shared" si="8"/>
        <v>613.51</v>
      </c>
      <c r="F35" s="12">
        <f t="shared" si="8"/>
        <v>498.47</v>
      </c>
      <c r="G35" s="12">
        <f t="shared" si="8"/>
        <v>310.28</v>
      </c>
      <c r="H35" s="12">
        <f t="shared" si="8"/>
        <v>0</v>
      </c>
      <c r="I35" s="12">
        <f t="shared" si="8"/>
        <v>0</v>
      </c>
      <c r="J35" s="12">
        <f t="shared" si="8"/>
        <v>0</v>
      </c>
      <c r="K35" s="12">
        <f t="shared" si="8"/>
        <v>0</v>
      </c>
      <c r="L35" s="12">
        <f t="shared" si="8"/>
        <v>0</v>
      </c>
      <c r="M35" s="12">
        <f t="shared" si="8"/>
        <v>0</v>
      </c>
      <c r="N35" s="13">
        <f t="shared" si="8"/>
        <v>4002.33</v>
      </c>
      <c r="O35" s="13">
        <f>IFERROR(N35/COUNTIF(B35:M35,"&gt;0"),0)</f>
        <v>667.055</v>
      </c>
    </row>
    <row r="36" ht="15.75" customHeight="1"/>
    <row r="37" ht="15.75" customHeight="1">
      <c r="A37" s="6" t="s">
        <v>127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</row>
    <row r="38" ht="15.75" customHeight="1">
      <c r="A38" s="2" t="s">
        <v>128</v>
      </c>
      <c r="B38" s="15">
        <v>635.4000000000001</v>
      </c>
      <c r="C38" s="15">
        <v>940.2900000000001</v>
      </c>
      <c r="D38" s="15">
        <v>701.4200000000001</v>
      </c>
      <c r="E38" s="15">
        <v>720.34</v>
      </c>
      <c r="F38" s="15">
        <v>427.34000000000003</v>
      </c>
      <c r="G38" s="9"/>
      <c r="H38" s="9"/>
      <c r="I38" s="9"/>
      <c r="J38" s="9"/>
      <c r="K38" s="9"/>
      <c r="L38" s="9"/>
      <c r="M38" s="9"/>
      <c r="N38" s="9">
        <f t="shared" ref="N38:N50" si="9">SUM(B38:M38)</f>
        <v>3424.79</v>
      </c>
      <c r="O38" s="9">
        <f t="shared" ref="O38:O50" si="10">IFERROR(AVERAGEIF(B38:M38,"&lt;&gt;0"),0)</f>
        <v>684.958</v>
      </c>
    </row>
    <row r="39" ht="15.75" customHeight="1">
      <c r="A39" s="2" t="s">
        <v>129</v>
      </c>
      <c r="B39" s="15">
        <v>198.77</v>
      </c>
      <c r="C39" s="15">
        <v>242.84</v>
      </c>
      <c r="D39" s="15">
        <v>214.4</v>
      </c>
      <c r="E39" s="15">
        <v>356.41999999999996</v>
      </c>
      <c r="F39" s="15">
        <v>302.96</v>
      </c>
      <c r="G39" s="9"/>
      <c r="H39" s="9"/>
      <c r="I39" s="9"/>
      <c r="J39" s="9"/>
      <c r="K39" s="9"/>
      <c r="L39" s="9"/>
      <c r="M39" s="9"/>
      <c r="N39" s="9">
        <f t="shared" si="9"/>
        <v>1315.39</v>
      </c>
      <c r="O39" s="9">
        <f t="shared" si="10"/>
        <v>263.078</v>
      </c>
    </row>
    <row r="40" ht="15.75" customHeight="1">
      <c r="A40" s="2" t="s">
        <v>130</v>
      </c>
      <c r="B40" s="15">
        <v>683.6500000000001</v>
      </c>
      <c r="C40" s="15">
        <v>884.87</v>
      </c>
      <c r="D40" s="15">
        <v>575.0</v>
      </c>
      <c r="E40" s="15">
        <v>1032.83</v>
      </c>
      <c r="F40" s="15">
        <v>427.35</v>
      </c>
      <c r="G40" s="9"/>
      <c r="H40" s="9"/>
      <c r="I40" s="9"/>
      <c r="J40" s="9"/>
      <c r="K40" s="9"/>
      <c r="L40" s="9"/>
      <c r="M40" s="9"/>
      <c r="N40" s="9">
        <f t="shared" si="9"/>
        <v>3603.7</v>
      </c>
      <c r="O40" s="9">
        <f t="shared" si="10"/>
        <v>720.74</v>
      </c>
    </row>
    <row r="41" ht="15.75" customHeight="1">
      <c r="A41" s="2" t="s">
        <v>131</v>
      </c>
      <c r="B41" s="15">
        <v>111.05</v>
      </c>
      <c r="C41" s="15">
        <v>104.33999999999999</v>
      </c>
      <c r="D41" s="15">
        <v>111.04999999999998</v>
      </c>
      <c r="E41" s="15">
        <v>160.40000000000003</v>
      </c>
      <c r="F41" s="15">
        <v>153.07</v>
      </c>
      <c r="G41" s="9"/>
      <c r="H41" s="9"/>
      <c r="I41" s="9"/>
      <c r="J41" s="9"/>
      <c r="K41" s="9"/>
      <c r="L41" s="9"/>
      <c r="M41" s="9"/>
      <c r="N41" s="9">
        <f t="shared" si="9"/>
        <v>639.91</v>
      </c>
      <c r="O41" s="9">
        <f t="shared" si="10"/>
        <v>127.982</v>
      </c>
    </row>
    <row r="42" ht="15.75" customHeight="1">
      <c r="A42" s="2" t="s">
        <v>132</v>
      </c>
      <c r="B42" s="15">
        <v>240.0</v>
      </c>
      <c r="C42" s="15">
        <v>27.0</v>
      </c>
      <c r="D42" s="15">
        <v>90.0</v>
      </c>
      <c r="E42" s="15">
        <v>490.32</v>
      </c>
      <c r="F42" s="15">
        <v>654.24</v>
      </c>
      <c r="G42" s="9"/>
      <c r="H42" s="9"/>
      <c r="I42" s="9"/>
      <c r="J42" s="9"/>
      <c r="K42" s="9"/>
      <c r="L42" s="9"/>
      <c r="M42" s="9"/>
      <c r="N42" s="9">
        <f t="shared" si="9"/>
        <v>1501.56</v>
      </c>
      <c r="O42" s="9">
        <f t="shared" si="10"/>
        <v>300.312</v>
      </c>
    </row>
    <row r="43" ht="15.75" customHeight="1">
      <c r="A43" s="2" t="s">
        <v>133</v>
      </c>
      <c r="B43" s="9"/>
      <c r="C43" s="9"/>
      <c r="D43" s="15">
        <v>30.54</v>
      </c>
      <c r="E43" s="15">
        <v>917.41</v>
      </c>
      <c r="F43" s="15">
        <v>104.8</v>
      </c>
      <c r="G43" s="9"/>
      <c r="H43" s="9"/>
      <c r="I43" s="9"/>
      <c r="J43" s="9"/>
      <c r="K43" s="9"/>
      <c r="L43" s="9"/>
      <c r="M43" s="9"/>
      <c r="N43" s="9">
        <f t="shared" si="9"/>
        <v>1052.75</v>
      </c>
      <c r="O43" s="9">
        <f t="shared" si="10"/>
        <v>350.9166667</v>
      </c>
    </row>
    <row r="44" ht="15.75" customHeight="1">
      <c r="A44" s="2" t="s">
        <v>134</v>
      </c>
      <c r="B44" s="15">
        <v>53.49999999999999</v>
      </c>
      <c r="C44" s="15">
        <v>1.4399999999999977</v>
      </c>
      <c r="D44" s="15">
        <v>215.5</v>
      </c>
      <c r="E44" s="15">
        <v>96.52999999999999</v>
      </c>
      <c r="F44" s="15">
        <v>335.46999999999997</v>
      </c>
      <c r="G44" s="9"/>
      <c r="H44" s="9"/>
      <c r="I44" s="9"/>
      <c r="J44" s="9"/>
      <c r="K44" s="9"/>
      <c r="L44" s="9"/>
      <c r="M44" s="9"/>
      <c r="N44" s="9">
        <f t="shared" si="9"/>
        <v>702.44</v>
      </c>
      <c r="O44" s="9">
        <f t="shared" si="10"/>
        <v>140.488</v>
      </c>
    </row>
    <row r="45" ht="15.75" customHeight="1">
      <c r="A45" s="2" t="s">
        <v>135</v>
      </c>
      <c r="B45" s="15">
        <v>35.54</v>
      </c>
      <c r="C45" s="15">
        <v>55.339999999999996</v>
      </c>
      <c r="D45" s="15">
        <v>18.0</v>
      </c>
      <c r="E45" s="15">
        <v>108.71</v>
      </c>
      <c r="F45" s="15">
        <v>8.72</v>
      </c>
      <c r="G45" s="9"/>
      <c r="H45" s="9"/>
      <c r="I45" s="9"/>
      <c r="J45" s="9"/>
      <c r="K45" s="9"/>
      <c r="L45" s="9"/>
      <c r="M45" s="9"/>
      <c r="N45" s="9">
        <f t="shared" si="9"/>
        <v>226.31</v>
      </c>
      <c r="O45" s="9">
        <f t="shared" si="10"/>
        <v>45.262</v>
      </c>
    </row>
    <row r="46" ht="15.75" customHeight="1">
      <c r="A46" s="2" t="s">
        <v>136</v>
      </c>
      <c r="B46" s="15">
        <v>47.18000000000001</v>
      </c>
      <c r="C46" s="15">
        <v>186.05</v>
      </c>
      <c r="D46" s="15">
        <v>15.420000000000002</v>
      </c>
      <c r="E46" s="15">
        <v>224.72000000000003</v>
      </c>
      <c r="F46" s="15">
        <v>186.20000000000002</v>
      </c>
      <c r="G46" s="9"/>
      <c r="H46" s="9"/>
      <c r="I46" s="9"/>
      <c r="J46" s="9"/>
      <c r="K46" s="9"/>
      <c r="L46" s="9"/>
      <c r="M46" s="9"/>
      <c r="N46" s="9">
        <f t="shared" si="9"/>
        <v>659.57</v>
      </c>
      <c r="O46" s="9">
        <f t="shared" si="10"/>
        <v>131.914</v>
      </c>
    </row>
    <row r="47" ht="15.75" customHeight="1">
      <c r="A47" s="2" t="s">
        <v>137</v>
      </c>
      <c r="B47" s="15">
        <v>856.7699999999999</v>
      </c>
      <c r="C47" s="15">
        <v>267.06</v>
      </c>
      <c r="D47" s="15">
        <v>417.22999999999996</v>
      </c>
      <c r="E47" s="15">
        <v>482.16</v>
      </c>
      <c r="F47" s="15">
        <v>356.25000000000006</v>
      </c>
      <c r="G47" s="9"/>
      <c r="H47" s="9"/>
      <c r="I47" s="9"/>
      <c r="J47" s="9"/>
      <c r="K47" s="9"/>
      <c r="L47" s="9"/>
      <c r="M47" s="9"/>
      <c r="N47" s="9">
        <f t="shared" si="9"/>
        <v>2379.47</v>
      </c>
      <c r="O47" s="9">
        <f t="shared" si="10"/>
        <v>475.894</v>
      </c>
    </row>
    <row r="48" ht="15.75" customHeight="1">
      <c r="A48" s="2" t="s">
        <v>138</v>
      </c>
      <c r="B48" s="9"/>
      <c r="C48" s="9"/>
      <c r="D48" s="9"/>
      <c r="E48" s="15">
        <v>490.0</v>
      </c>
      <c r="F48" s="9"/>
      <c r="G48" s="9"/>
      <c r="H48" s="9"/>
      <c r="I48" s="9"/>
      <c r="J48" s="9"/>
      <c r="K48" s="9"/>
      <c r="L48" s="9"/>
      <c r="M48" s="9"/>
      <c r="N48" s="9">
        <f t="shared" si="9"/>
        <v>490</v>
      </c>
      <c r="O48" s="9">
        <f t="shared" si="10"/>
        <v>490</v>
      </c>
    </row>
    <row r="49" ht="15.75" customHeight="1">
      <c r="A49" s="2" t="s">
        <v>139</v>
      </c>
      <c r="B49" s="9"/>
      <c r="C49" s="9"/>
      <c r="D49" s="9"/>
      <c r="E49" s="9"/>
      <c r="F49" s="15">
        <v>300.0</v>
      </c>
      <c r="G49" s="9"/>
      <c r="H49" s="9"/>
      <c r="I49" s="9"/>
      <c r="J49" s="9"/>
      <c r="K49" s="9"/>
      <c r="L49" s="9"/>
      <c r="M49" s="9"/>
      <c r="N49" s="9">
        <f t="shared" si="9"/>
        <v>300</v>
      </c>
      <c r="O49" s="9">
        <f t="shared" si="10"/>
        <v>300</v>
      </c>
    </row>
    <row r="50" ht="15.75" customHeight="1">
      <c r="A50" s="2" t="s">
        <v>140</v>
      </c>
      <c r="B50" s="15">
        <v>2349.1600000000003</v>
      </c>
      <c r="C50" s="15">
        <v>461.55000000000007</v>
      </c>
      <c r="D50" s="15">
        <v>24417.030000000002</v>
      </c>
      <c r="E50" s="15">
        <v>1839.2000000000003</v>
      </c>
      <c r="F50" s="15">
        <v>2000.0</v>
      </c>
      <c r="G50" s="9"/>
      <c r="H50" s="9"/>
      <c r="I50" s="9"/>
      <c r="J50" s="9"/>
      <c r="K50" s="9"/>
      <c r="L50" s="9"/>
      <c r="M50" s="9"/>
      <c r="N50" s="9">
        <f t="shared" si="9"/>
        <v>31066.94</v>
      </c>
      <c r="O50" s="9">
        <f t="shared" si="10"/>
        <v>6213.388</v>
      </c>
    </row>
    <row r="51" ht="15.75" customHeight="1">
      <c r="A51" s="11" t="s">
        <v>141</v>
      </c>
      <c r="B51" s="12">
        <v>5211.02</v>
      </c>
      <c r="C51" s="12">
        <v>3170.7800000000007</v>
      </c>
      <c r="D51" s="12">
        <v>26805.590000000004</v>
      </c>
      <c r="E51" s="12">
        <v>6919.040000000001</v>
      </c>
      <c r="F51" s="12">
        <v>5256.4</v>
      </c>
      <c r="G51" s="12">
        <v>0.0</v>
      </c>
      <c r="H51" s="12">
        <v>0.0</v>
      </c>
      <c r="I51" s="12">
        <v>0.0</v>
      </c>
      <c r="J51" s="12">
        <v>0.0</v>
      </c>
      <c r="K51" s="12">
        <v>0.0</v>
      </c>
      <c r="L51" s="12">
        <v>0.0</v>
      </c>
      <c r="M51" s="12">
        <v>0.0</v>
      </c>
      <c r="N51" s="13">
        <f>SUM(N38:N50)</f>
        <v>47362.83</v>
      </c>
      <c r="O51" s="13">
        <f>IFERROR(N51/COUNTIF(B51:M51,"&gt;0"),0)</f>
        <v>9472.566</v>
      </c>
    </row>
    <row r="52" ht="15.75" customHeight="1"/>
    <row r="53" ht="15.75" customHeight="1">
      <c r="A53" s="6" t="s">
        <v>142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ht="15.75" customHeight="1">
      <c r="A54" s="2" t="s">
        <v>143</v>
      </c>
      <c r="B54" s="9"/>
      <c r="C54" s="9"/>
      <c r="D54" s="15">
        <v>26318.0</v>
      </c>
      <c r="E54" s="9"/>
      <c r="F54" s="15">
        <v>2000.0</v>
      </c>
      <c r="G54" s="9"/>
      <c r="H54" s="9"/>
      <c r="I54" s="9"/>
      <c r="J54" s="9"/>
      <c r="K54" s="9"/>
      <c r="L54" s="9"/>
      <c r="M54" s="9"/>
      <c r="N54" s="9">
        <f t="shared" ref="N54:N57" si="11">SUM(B54:M54)</f>
        <v>28318</v>
      </c>
      <c r="O54" s="9">
        <f>IFERROR(N54/COUNTIF(B54:M54,"&gt;0"),0)</f>
        <v>14159</v>
      </c>
    </row>
    <row r="55" ht="15.75" customHeight="1">
      <c r="A55" s="2" t="s">
        <v>144</v>
      </c>
      <c r="B55" s="8"/>
      <c r="C55" s="8"/>
      <c r="D55" s="8"/>
      <c r="E55" s="7">
        <v>3399.85</v>
      </c>
      <c r="F55" s="8"/>
      <c r="G55" s="8"/>
      <c r="H55" s="8"/>
      <c r="I55" s="8"/>
      <c r="J55" s="8"/>
      <c r="K55" s="8"/>
      <c r="L55" s="8"/>
      <c r="M55" s="8"/>
      <c r="N55" s="9">
        <f t="shared" si="11"/>
        <v>3399.85</v>
      </c>
      <c r="O55" s="9">
        <f t="shared" ref="O55:O57" si="12">IFERROR(AVERAGEIF(B55:M55,"&lt;&gt;0"),0)</f>
        <v>3399.85</v>
      </c>
    </row>
    <row r="56" ht="15.75" customHeight="1">
      <c r="A56" s="2" t="s">
        <v>145</v>
      </c>
      <c r="B56" s="8"/>
      <c r="C56" s="8"/>
      <c r="D56" s="8"/>
      <c r="E56" s="7">
        <v>3399.85</v>
      </c>
      <c r="F56" s="8"/>
      <c r="G56" s="8"/>
      <c r="H56" s="8"/>
      <c r="I56" s="8"/>
      <c r="J56" s="8"/>
      <c r="K56" s="8"/>
      <c r="L56" s="8"/>
      <c r="M56" s="8"/>
      <c r="N56" s="9">
        <f t="shared" si="11"/>
        <v>3399.85</v>
      </c>
      <c r="O56" s="9">
        <f t="shared" si="12"/>
        <v>3399.85</v>
      </c>
    </row>
    <row r="57" ht="15.75" customHeight="1">
      <c r="A57" s="2" t="s">
        <v>146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9">
        <f t="shared" si="11"/>
        <v>0</v>
      </c>
      <c r="O57" s="9">
        <f t="shared" si="12"/>
        <v>0</v>
      </c>
    </row>
    <row r="58" ht="15.75" customHeight="1">
      <c r="A58" s="11" t="s">
        <v>147</v>
      </c>
      <c r="B58" s="13">
        <f t="shared" ref="B58:N58" si="13">SUM(B54:B57)</f>
        <v>0</v>
      </c>
      <c r="C58" s="13">
        <f t="shared" si="13"/>
        <v>0</v>
      </c>
      <c r="D58" s="13">
        <f t="shared" si="13"/>
        <v>26318</v>
      </c>
      <c r="E58" s="13">
        <f t="shared" si="13"/>
        <v>6799.7</v>
      </c>
      <c r="F58" s="13">
        <f t="shared" si="13"/>
        <v>2000</v>
      </c>
      <c r="G58" s="13">
        <f t="shared" si="13"/>
        <v>0</v>
      </c>
      <c r="H58" s="13">
        <f t="shared" si="13"/>
        <v>0</v>
      </c>
      <c r="I58" s="13">
        <f t="shared" si="13"/>
        <v>0</v>
      </c>
      <c r="J58" s="13">
        <f t="shared" si="13"/>
        <v>0</v>
      </c>
      <c r="K58" s="13">
        <f t="shared" si="13"/>
        <v>0</v>
      </c>
      <c r="L58" s="13">
        <f t="shared" si="13"/>
        <v>0</v>
      </c>
      <c r="M58" s="13">
        <f t="shared" si="13"/>
        <v>0</v>
      </c>
      <c r="N58" s="13">
        <f t="shared" si="13"/>
        <v>35117.7</v>
      </c>
      <c r="O58" s="13">
        <f>IFERROR(N58/COUNTIF(B58:M58,"&gt;0"),0)</f>
        <v>11705.9</v>
      </c>
    </row>
    <row r="59" ht="15.75" customHeight="1"/>
    <row r="60" ht="15.75" customHeight="1">
      <c r="A60" s="11" t="s">
        <v>148</v>
      </c>
      <c r="B60" s="13">
        <f t="shared" ref="B60:N60" si="14">B29+B35+B51+B58</f>
        <v>5959.48</v>
      </c>
      <c r="C60" s="13">
        <f t="shared" si="14"/>
        <v>4113.75</v>
      </c>
      <c r="D60" s="13">
        <f t="shared" si="14"/>
        <v>54162.23</v>
      </c>
      <c r="E60" s="13">
        <f t="shared" si="14"/>
        <v>14382.25</v>
      </c>
      <c r="F60" s="13">
        <f t="shared" si="14"/>
        <v>7804.87</v>
      </c>
      <c r="G60" s="13">
        <f t="shared" si="14"/>
        <v>410.28</v>
      </c>
      <c r="H60" s="13">
        <f t="shared" si="14"/>
        <v>0</v>
      </c>
      <c r="I60" s="13">
        <f t="shared" si="14"/>
        <v>0</v>
      </c>
      <c r="J60" s="13">
        <f t="shared" si="14"/>
        <v>0</v>
      </c>
      <c r="K60" s="13">
        <f t="shared" si="14"/>
        <v>0</v>
      </c>
      <c r="L60" s="13">
        <f t="shared" si="14"/>
        <v>0</v>
      </c>
      <c r="M60" s="13">
        <f t="shared" si="14"/>
        <v>0</v>
      </c>
      <c r="N60" s="13">
        <f t="shared" si="14"/>
        <v>114747.81</v>
      </c>
      <c r="O60" s="13"/>
    </row>
    <row r="61" ht="15.75" customHeight="1"/>
    <row r="62" ht="15.75" customHeight="1">
      <c r="A62" s="11" t="s">
        <v>149</v>
      </c>
      <c r="B62" s="13">
        <f t="shared" ref="B62:N62" si="15">B15-B60</f>
        <v>5917.31</v>
      </c>
      <c r="C62" s="13">
        <f t="shared" si="15"/>
        <v>7287.27</v>
      </c>
      <c r="D62" s="13">
        <f t="shared" si="15"/>
        <v>-43733.04</v>
      </c>
      <c r="E62" s="13">
        <f t="shared" si="15"/>
        <v>1657.63</v>
      </c>
      <c r="F62" s="13">
        <f t="shared" si="15"/>
        <v>4968.05</v>
      </c>
      <c r="G62" s="13">
        <f t="shared" si="15"/>
        <v>-319.33</v>
      </c>
      <c r="H62" s="13">
        <f t="shared" si="15"/>
        <v>0</v>
      </c>
      <c r="I62" s="13">
        <f t="shared" si="15"/>
        <v>0</v>
      </c>
      <c r="J62" s="13">
        <f t="shared" si="15"/>
        <v>0</v>
      </c>
      <c r="K62" s="13">
        <f t="shared" si="15"/>
        <v>0</v>
      </c>
      <c r="L62" s="13">
        <f t="shared" si="15"/>
        <v>0</v>
      </c>
      <c r="M62" s="13">
        <f t="shared" si="15"/>
        <v>0</v>
      </c>
      <c r="N62" s="13">
        <f t="shared" si="15"/>
        <v>-52137.06</v>
      </c>
      <c r="O62" s="13"/>
    </row>
    <row r="63" ht="15.75" customHeight="1"/>
    <row r="64" ht="15.75" customHeight="1">
      <c r="A64" s="6" t="s">
        <v>150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ht="15.75" customHeight="1">
      <c r="A65" s="2" t="s">
        <v>151</v>
      </c>
      <c r="B65" s="7">
        <v>5223.93</v>
      </c>
      <c r="C65" s="9">
        <f t="shared" ref="C65:M65" si="16">B68</f>
        <v>-6328.24</v>
      </c>
      <c r="D65" s="9">
        <f t="shared" si="16"/>
        <v>3134.97</v>
      </c>
      <c r="E65" s="9">
        <f t="shared" si="16"/>
        <v>46729.07</v>
      </c>
      <c r="F65" s="9">
        <f t="shared" si="16"/>
        <v>-41821.7</v>
      </c>
      <c r="G65" s="9">
        <f t="shared" si="16"/>
        <v>43214.65</v>
      </c>
      <c r="H65" s="9">
        <f t="shared" si="16"/>
        <v>-42895.32</v>
      </c>
      <c r="I65" s="9">
        <f t="shared" si="16"/>
        <v>42895.32</v>
      </c>
      <c r="J65" s="9">
        <f t="shared" si="16"/>
        <v>-42895.32</v>
      </c>
      <c r="K65" s="9">
        <f t="shared" si="16"/>
        <v>42895.32</v>
      </c>
      <c r="L65" s="9">
        <f t="shared" si="16"/>
        <v>-42895.32</v>
      </c>
      <c r="M65" s="9">
        <f t="shared" si="16"/>
        <v>42895.32</v>
      </c>
      <c r="N65" s="9"/>
      <c r="O65" s="9"/>
    </row>
    <row r="66" ht="15.75" customHeight="1">
      <c r="A66" s="2" t="s">
        <v>152</v>
      </c>
      <c r="B66" s="9">
        <f t="shared" ref="B66:M66" si="17">B65+B62</f>
        <v>11141.24</v>
      </c>
      <c r="C66" s="9">
        <f t="shared" si="17"/>
        <v>959.03</v>
      </c>
      <c r="D66" s="9">
        <f t="shared" si="17"/>
        <v>-40598.07</v>
      </c>
      <c r="E66" s="9">
        <f t="shared" si="17"/>
        <v>48386.7</v>
      </c>
      <c r="F66" s="9">
        <f t="shared" si="17"/>
        <v>-36853.65</v>
      </c>
      <c r="G66" s="9">
        <f t="shared" si="17"/>
        <v>42895.32</v>
      </c>
      <c r="H66" s="9">
        <f t="shared" si="17"/>
        <v>-42895.32</v>
      </c>
      <c r="I66" s="9">
        <f t="shared" si="17"/>
        <v>42895.32</v>
      </c>
      <c r="J66" s="9">
        <f t="shared" si="17"/>
        <v>-42895.32</v>
      </c>
      <c r="K66" s="9">
        <f t="shared" si="17"/>
        <v>42895.32</v>
      </c>
      <c r="L66" s="9">
        <f t="shared" si="17"/>
        <v>-42895.32</v>
      </c>
      <c r="M66" s="9">
        <f t="shared" si="17"/>
        <v>42895.32</v>
      </c>
      <c r="N66" s="9"/>
      <c r="O66" s="9"/>
    </row>
    <row r="67" ht="15.75" customHeight="1">
      <c r="A67" s="2" t="s">
        <v>153</v>
      </c>
      <c r="B67" s="7">
        <v>4813.0</v>
      </c>
      <c r="C67" s="7">
        <v>4094.0</v>
      </c>
      <c r="D67" s="7">
        <v>6131.0</v>
      </c>
      <c r="E67" s="7">
        <v>6565.0</v>
      </c>
      <c r="F67" s="7">
        <v>6361.0</v>
      </c>
      <c r="G67" s="8"/>
      <c r="H67" s="8"/>
      <c r="I67" s="8"/>
      <c r="J67" s="8"/>
      <c r="K67" s="8"/>
      <c r="L67" s="8"/>
      <c r="M67" s="8"/>
      <c r="N67" s="9"/>
      <c r="O67" s="9"/>
    </row>
    <row r="68" ht="15.75" customHeight="1">
      <c r="A68" s="11" t="s">
        <v>154</v>
      </c>
      <c r="B68" s="13">
        <f t="shared" ref="B68:M68" si="18">B67-B66</f>
        <v>-6328.24</v>
      </c>
      <c r="C68" s="13">
        <f t="shared" si="18"/>
        <v>3134.97</v>
      </c>
      <c r="D68" s="13">
        <f t="shared" si="18"/>
        <v>46729.07</v>
      </c>
      <c r="E68" s="13">
        <f t="shared" si="18"/>
        <v>-41821.7</v>
      </c>
      <c r="F68" s="13">
        <f t="shared" si="18"/>
        <v>43214.65</v>
      </c>
      <c r="G68" s="13">
        <f t="shared" si="18"/>
        <v>-42895.32</v>
      </c>
      <c r="H68" s="13">
        <f t="shared" si="18"/>
        <v>42895.32</v>
      </c>
      <c r="I68" s="13">
        <f t="shared" si="18"/>
        <v>-42895.32</v>
      </c>
      <c r="J68" s="13">
        <f t="shared" si="18"/>
        <v>42895.32</v>
      </c>
      <c r="K68" s="13">
        <f t="shared" si="18"/>
        <v>-42895.32</v>
      </c>
      <c r="L68" s="13">
        <f t="shared" si="18"/>
        <v>42895.32</v>
      </c>
      <c r="M68" s="13">
        <f t="shared" si="18"/>
        <v>-42895.32</v>
      </c>
      <c r="N68" s="13"/>
      <c r="O68" s="13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1:O1"/>
    <mergeCell ref="A2:O2"/>
  </mergeCells>
  <conditionalFormatting sqref="B68:M68">
    <cfRule type="cellIs" dxfId="0" priority="1" operator="greaterThan">
      <formula>50</formula>
    </cfRule>
  </conditionalFormatting>
  <conditionalFormatting sqref="B68:M68">
    <cfRule type="cellIs" dxfId="1" priority="2" operator="lessThan">
      <formula>-50</formula>
    </cfRule>
  </conditionalFormatting>
  <conditionalFormatting sqref="B62:N62">
    <cfRule type="cellIs" dxfId="1" priority="3" operator="lessThan">
      <formula>0</formula>
    </cfRule>
  </conditionalFormatting>
  <conditionalFormatting sqref="B62:N62">
    <cfRule type="cellIs" dxfId="0" priority="4" operator="greaterThanOrEqual">
      <formula>0</formula>
    </cfRule>
  </conditionalFormatting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42.14"/>
    <col customWidth="1" min="2" max="14" width="11.0"/>
    <col customWidth="1" min="15" max="26" width="8.71"/>
  </cols>
  <sheetData>
    <row r="1">
      <c r="A1" s="16" t="s">
        <v>155</v>
      </c>
    </row>
    <row r="2">
      <c r="A2" s="4" t="s">
        <v>156</v>
      </c>
    </row>
    <row r="4">
      <c r="A4" s="5" t="s">
        <v>84</v>
      </c>
      <c r="B4" s="5" t="s">
        <v>85</v>
      </c>
      <c r="C4" s="5" t="s">
        <v>86</v>
      </c>
      <c r="D4" s="5" t="s">
        <v>87</v>
      </c>
      <c r="E4" s="5" t="s">
        <v>88</v>
      </c>
      <c r="F4" s="5" t="s">
        <v>89</v>
      </c>
      <c r="G4" s="5" t="s">
        <v>90</v>
      </c>
      <c r="H4" s="5" t="s">
        <v>91</v>
      </c>
      <c r="I4" s="5" t="s">
        <v>92</v>
      </c>
      <c r="J4" s="5" t="s">
        <v>93</v>
      </c>
      <c r="K4" s="5" t="s">
        <v>94</v>
      </c>
      <c r="L4" s="5" t="s">
        <v>95</v>
      </c>
      <c r="M4" s="5" t="s">
        <v>96</v>
      </c>
      <c r="N4" s="5" t="s">
        <v>157</v>
      </c>
    </row>
    <row r="5">
      <c r="A5" s="2" t="s">
        <v>158</v>
      </c>
      <c r="B5" s="15">
        <v>635.4000000000001</v>
      </c>
      <c r="C5" s="15">
        <v>940.2900000000001</v>
      </c>
      <c r="D5" s="15">
        <v>701.4200000000001</v>
      </c>
      <c r="E5" s="15">
        <v>746.33</v>
      </c>
      <c r="F5" s="15">
        <v>630.8</v>
      </c>
      <c r="G5" s="15">
        <v>146.28</v>
      </c>
      <c r="H5" s="9"/>
      <c r="I5" s="9"/>
      <c r="J5" s="9"/>
      <c r="K5" s="9"/>
      <c r="L5" s="9"/>
      <c r="M5" s="9"/>
      <c r="N5" s="9">
        <f t="shared" ref="N5:N17" si="1">SUM(B5:M5)</f>
        <v>3800.52</v>
      </c>
    </row>
    <row r="6">
      <c r="A6" s="2" t="s">
        <v>159</v>
      </c>
      <c r="B6" s="15">
        <v>198.77</v>
      </c>
      <c r="C6" s="15">
        <v>242.84</v>
      </c>
      <c r="D6" s="15">
        <v>214.4</v>
      </c>
      <c r="E6" s="15">
        <v>356.41999999999996</v>
      </c>
      <c r="F6" s="15">
        <v>530.1</v>
      </c>
      <c r="G6" s="9"/>
      <c r="H6" s="9"/>
      <c r="I6" s="9"/>
      <c r="J6" s="9"/>
      <c r="K6" s="9"/>
      <c r="L6" s="9"/>
      <c r="M6" s="9"/>
      <c r="N6" s="9">
        <f t="shared" si="1"/>
        <v>1542.53</v>
      </c>
    </row>
    <row r="7">
      <c r="A7" s="2" t="s">
        <v>160</v>
      </c>
      <c r="B7" s="15">
        <v>683.6500000000001</v>
      </c>
      <c r="C7" s="15">
        <v>884.87</v>
      </c>
      <c r="D7" s="15">
        <v>575.0</v>
      </c>
      <c r="E7" s="15">
        <v>1032.83</v>
      </c>
      <c r="F7" s="15">
        <v>935.71</v>
      </c>
      <c r="G7" s="15">
        <v>74.96000000000001</v>
      </c>
      <c r="H7" s="9"/>
      <c r="I7" s="9"/>
      <c r="J7" s="9"/>
      <c r="K7" s="9"/>
      <c r="L7" s="9"/>
      <c r="M7" s="9"/>
      <c r="N7" s="9">
        <f t="shared" si="1"/>
        <v>4187.02</v>
      </c>
    </row>
    <row r="8">
      <c r="A8" s="2" t="s">
        <v>161</v>
      </c>
      <c r="B8" s="15">
        <v>111.05</v>
      </c>
      <c r="C8" s="15">
        <v>104.33999999999999</v>
      </c>
      <c r="D8" s="15">
        <v>111.04999999999998</v>
      </c>
      <c r="E8" s="15">
        <v>160.40000000000003</v>
      </c>
      <c r="F8" s="15">
        <v>154.06</v>
      </c>
      <c r="G8" s="15">
        <v>6.69</v>
      </c>
      <c r="H8" s="9"/>
      <c r="I8" s="9"/>
      <c r="J8" s="9"/>
      <c r="K8" s="9"/>
      <c r="L8" s="9"/>
      <c r="M8" s="9"/>
      <c r="N8" s="9">
        <f t="shared" si="1"/>
        <v>647.59</v>
      </c>
    </row>
    <row r="9">
      <c r="A9" s="2" t="s">
        <v>162</v>
      </c>
      <c r="B9" s="15">
        <v>240.0</v>
      </c>
      <c r="C9" s="15">
        <v>37.61</v>
      </c>
      <c r="D9" s="15">
        <v>128.26</v>
      </c>
      <c r="E9" s="15">
        <v>533.78</v>
      </c>
      <c r="F9" s="15">
        <v>677.24</v>
      </c>
      <c r="G9" s="15">
        <v>295.65</v>
      </c>
      <c r="H9" s="9"/>
      <c r="I9" s="9"/>
      <c r="J9" s="9"/>
      <c r="K9" s="9"/>
      <c r="L9" s="9"/>
      <c r="M9" s="9"/>
      <c r="N9" s="9">
        <f t="shared" si="1"/>
        <v>1912.54</v>
      </c>
    </row>
    <row r="10">
      <c r="A10" s="2" t="s">
        <v>163</v>
      </c>
      <c r="B10" s="9"/>
      <c r="C10" s="9"/>
      <c r="D10" s="15">
        <v>30.54</v>
      </c>
      <c r="E10" s="15">
        <v>917.41</v>
      </c>
      <c r="F10" s="15">
        <v>104.8</v>
      </c>
      <c r="G10" s="9"/>
      <c r="H10" s="9"/>
      <c r="I10" s="9"/>
      <c r="J10" s="9"/>
      <c r="K10" s="9"/>
      <c r="L10" s="9"/>
      <c r="M10" s="9"/>
      <c r="N10" s="9">
        <f t="shared" si="1"/>
        <v>1052.75</v>
      </c>
    </row>
    <row r="11">
      <c r="A11" s="2" t="s">
        <v>164</v>
      </c>
      <c r="B11" s="15">
        <v>53.49999999999999</v>
      </c>
      <c r="C11" s="15">
        <v>1.4399999999999977</v>
      </c>
      <c r="D11" s="15">
        <v>215.5</v>
      </c>
      <c r="E11" s="15">
        <v>96.52999999999999</v>
      </c>
      <c r="F11" s="15">
        <v>335.46999999999997</v>
      </c>
      <c r="G11" s="15">
        <v>100.0</v>
      </c>
      <c r="H11" s="9"/>
      <c r="I11" s="9"/>
      <c r="J11" s="9"/>
      <c r="K11" s="9"/>
      <c r="L11" s="9"/>
      <c r="M11" s="9"/>
      <c r="N11" s="9">
        <f t="shared" si="1"/>
        <v>802.44</v>
      </c>
    </row>
    <row r="12">
      <c r="A12" s="2" t="s">
        <v>165</v>
      </c>
      <c r="B12" s="15">
        <v>35.54</v>
      </c>
      <c r="C12" s="15">
        <v>55.339999999999996</v>
      </c>
      <c r="D12" s="15">
        <v>18.0</v>
      </c>
      <c r="E12" s="15">
        <v>108.71</v>
      </c>
      <c r="F12" s="15">
        <v>12.100000000000001</v>
      </c>
      <c r="G12" s="15">
        <v>3.79</v>
      </c>
      <c r="H12" s="9"/>
      <c r="I12" s="9"/>
      <c r="J12" s="9"/>
      <c r="K12" s="9"/>
      <c r="L12" s="9"/>
      <c r="M12" s="9"/>
      <c r="N12" s="9">
        <f t="shared" si="1"/>
        <v>233.48</v>
      </c>
    </row>
    <row r="13">
      <c r="A13" s="2" t="s">
        <v>166</v>
      </c>
      <c r="B13" s="15">
        <v>47.18000000000001</v>
      </c>
      <c r="C13" s="15">
        <v>186.05</v>
      </c>
      <c r="D13" s="15">
        <v>26.75</v>
      </c>
      <c r="E13" s="15">
        <v>224.71999999999997</v>
      </c>
      <c r="F13" s="15">
        <v>389.01</v>
      </c>
      <c r="G13" s="15">
        <v>123.82000000000001</v>
      </c>
      <c r="H13" s="9"/>
      <c r="I13" s="9"/>
      <c r="J13" s="9"/>
      <c r="K13" s="9"/>
      <c r="L13" s="9"/>
      <c r="M13" s="9"/>
      <c r="N13" s="9">
        <f t="shared" si="1"/>
        <v>997.53</v>
      </c>
    </row>
    <row r="14">
      <c r="A14" s="2" t="s">
        <v>167</v>
      </c>
      <c r="B14" s="15">
        <v>856.77</v>
      </c>
      <c r="C14" s="15">
        <v>267.06</v>
      </c>
      <c r="D14" s="15">
        <v>417.22999999999996</v>
      </c>
      <c r="E14" s="15">
        <v>482.16</v>
      </c>
      <c r="F14" s="15">
        <v>688.51</v>
      </c>
      <c r="G14" s="15">
        <v>157.93</v>
      </c>
      <c r="H14" s="9"/>
      <c r="I14" s="9"/>
      <c r="J14" s="9"/>
      <c r="K14" s="9"/>
      <c r="L14" s="9"/>
      <c r="M14" s="9"/>
      <c r="N14" s="9">
        <f t="shared" si="1"/>
        <v>2869.66</v>
      </c>
    </row>
    <row r="15">
      <c r="A15" s="2" t="s">
        <v>168</v>
      </c>
      <c r="B15" s="9"/>
      <c r="C15" s="9"/>
      <c r="D15" s="9"/>
      <c r="E15" s="15">
        <v>490.0</v>
      </c>
      <c r="F15" s="15">
        <v>75.0</v>
      </c>
      <c r="G15" s="15">
        <v>65.0</v>
      </c>
      <c r="H15" s="9"/>
      <c r="I15" s="9"/>
      <c r="J15" s="9"/>
      <c r="K15" s="9"/>
      <c r="L15" s="9"/>
      <c r="M15" s="9"/>
      <c r="N15" s="9">
        <f t="shared" si="1"/>
        <v>630</v>
      </c>
    </row>
    <row r="16">
      <c r="A16" s="2" t="s">
        <v>169</v>
      </c>
      <c r="B16" s="9"/>
      <c r="C16" s="9"/>
      <c r="D16" s="9"/>
      <c r="E16" s="9"/>
      <c r="F16" s="15">
        <v>600.0</v>
      </c>
      <c r="G16" s="9"/>
      <c r="H16" s="9"/>
      <c r="I16" s="9"/>
      <c r="J16" s="9"/>
      <c r="K16" s="9"/>
      <c r="L16" s="9"/>
      <c r="M16" s="9"/>
      <c r="N16" s="9">
        <f t="shared" si="1"/>
        <v>600</v>
      </c>
    </row>
    <row r="17">
      <c r="A17" s="2" t="s">
        <v>170</v>
      </c>
      <c r="B17" s="15">
        <v>2349.1600000000003</v>
      </c>
      <c r="C17" s="15">
        <v>450.94000000000005</v>
      </c>
      <c r="D17" s="15">
        <v>24367.440000000002</v>
      </c>
      <c r="E17" s="15">
        <v>1769.75</v>
      </c>
      <c r="F17" s="15">
        <v>3985.2799999999997</v>
      </c>
      <c r="G17" s="15">
        <v>-2.219999999999999</v>
      </c>
      <c r="H17" s="9"/>
      <c r="I17" s="9"/>
      <c r="J17" s="9"/>
      <c r="K17" s="9"/>
      <c r="L17" s="9"/>
      <c r="M17" s="9"/>
      <c r="N17" s="9">
        <f t="shared" si="1"/>
        <v>32920.35</v>
      </c>
    </row>
    <row r="18">
      <c r="A18" s="11" t="s">
        <v>171</v>
      </c>
      <c r="B18" s="13">
        <f t="shared" ref="B18:N18" si="2">SUM(B5:B17)</f>
        <v>5211.02</v>
      </c>
      <c r="C18" s="13">
        <f t="shared" si="2"/>
        <v>3170.78</v>
      </c>
      <c r="D18" s="13">
        <f t="shared" si="2"/>
        <v>26805.59</v>
      </c>
      <c r="E18" s="13">
        <f t="shared" si="2"/>
        <v>6919.04</v>
      </c>
      <c r="F18" s="13">
        <f t="shared" si="2"/>
        <v>9118.08</v>
      </c>
      <c r="G18" s="13">
        <f t="shared" si="2"/>
        <v>971.9</v>
      </c>
      <c r="H18" s="13">
        <f t="shared" si="2"/>
        <v>0</v>
      </c>
      <c r="I18" s="13">
        <f t="shared" si="2"/>
        <v>0</v>
      </c>
      <c r="J18" s="13">
        <f t="shared" si="2"/>
        <v>0</v>
      </c>
      <c r="K18" s="13">
        <f t="shared" si="2"/>
        <v>0</v>
      </c>
      <c r="L18" s="13">
        <f t="shared" si="2"/>
        <v>0</v>
      </c>
      <c r="M18" s="13">
        <f t="shared" si="2"/>
        <v>0</v>
      </c>
      <c r="N18" s="13">
        <f t="shared" si="2"/>
        <v>52196.41</v>
      </c>
    </row>
    <row r="20">
      <c r="A20" s="2" t="s">
        <v>172</v>
      </c>
      <c r="B20" s="8">
        <v>5863.0</v>
      </c>
      <c r="C20" s="8">
        <v>5466.0</v>
      </c>
      <c r="D20" s="8">
        <v>3914.0</v>
      </c>
      <c r="E20" s="8">
        <v>8658.0</v>
      </c>
      <c r="F20" s="8">
        <v>4911.0</v>
      </c>
      <c r="G20" s="8"/>
      <c r="H20" s="8"/>
      <c r="I20" s="8"/>
      <c r="J20" s="8"/>
      <c r="K20" s="8"/>
      <c r="L20" s="8"/>
      <c r="M20" s="8"/>
      <c r="N20" s="9">
        <f>SUM(B20:M20)</f>
        <v>28812</v>
      </c>
    </row>
    <row r="21" ht="15.75" customHeight="1">
      <c r="A21" s="2" t="s">
        <v>173</v>
      </c>
      <c r="B21" s="9">
        <f t="shared" ref="B21:N21" si="3">B18-B20</f>
        <v>-651.98</v>
      </c>
      <c r="C21" s="9">
        <f t="shared" si="3"/>
        <v>-2295.22</v>
      </c>
      <c r="D21" s="9">
        <f t="shared" si="3"/>
        <v>22891.59</v>
      </c>
      <c r="E21" s="9">
        <f t="shared" si="3"/>
        <v>-1738.96</v>
      </c>
      <c r="F21" s="9">
        <f t="shared" si="3"/>
        <v>4207.08</v>
      </c>
      <c r="G21" s="9">
        <f t="shared" si="3"/>
        <v>971.9</v>
      </c>
      <c r="H21" s="9">
        <f t="shared" si="3"/>
        <v>0</v>
      </c>
      <c r="I21" s="9">
        <f t="shared" si="3"/>
        <v>0</v>
      </c>
      <c r="J21" s="9">
        <f t="shared" si="3"/>
        <v>0</v>
      </c>
      <c r="K21" s="9">
        <f t="shared" si="3"/>
        <v>0</v>
      </c>
      <c r="L21" s="9">
        <f t="shared" si="3"/>
        <v>0</v>
      </c>
      <c r="M21" s="9">
        <f t="shared" si="3"/>
        <v>0</v>
      </c>
      <c r="N21" s="9">
        <f t="shared" si="3"/>
        <v>23384.41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N1"/>
    <mergeCell ref="A2:N2"/>
  </mergeCells>
  <conditionalFormatting sqref="B21:M21">
    <cfRule type="cellIs" dxfId="1" priority="1" operator="lessThan">
      <formula>-50</formula>
    </cfRule>
  </conditionalFormatting>
  <conditionalFormatting sqref="B21:M21">
    <cfRule type="cellIs" dxfId="1" priority="2" operator="greaterThan">
      <formula>50</formula>
    </cfRule>
  </conditionalFormatting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14" width="11.0"/>
    <col customWidth="1" min="15" max="26" width="8.71"/>
  </cols>
  <sheetData>
    <row r="1">
      <c r="A1" s="16" t="s">
        <v>174</v>
      </c>
    </row>
    <row r="2">
      <c r="A2" s="4" t="s">
        <v>175</v>
      </c>
    </row>
    <row r="4">
      <c r="A4" s="5" t="s">
        <v>176</v>
      </c>
      <c r="B4" s="5" t="s">
        <v>85</v>
      </c>
      <c r="C4" s="5" t="s">
        <v>86</v>
      </c>
      <c r="D4" s="5" t="s">
        <v>87</v>
      </c>
      <c r="E4" s="5" t="s">
        <v>88</v>
      </c>
      <c r="F4" s="5" t="s">
        <v>89</v>
      </c>
      <c r="G4" s="5" t="s">
        <v>90</v>
      </c>
      <c r="H4" s="5" t="s">
        <v>91</v>
      </c>
      <c r="I4" s="5" t="s">
        <v>92</v>
      </c>
      <c r="J4" s="5" t="s">
        <v>93</v>
      </c>
      <c r="K4" s="5" t="s">
        <v>94</v>
      </c>
      <c r="L4" s="5" t="s">
        <v>95</v>
      </c>
      <c r="M4" s="5" t="s">
        <v>96</v>
      </c>
      <c r="N4" s="5" t="s">
        <v>157</v>
      </c>
    </row>
    <row r="5">
      <c r="A5" s="2" t="s">
        <v>177</v>
      </c>
      <c r="B5" s="7">
        <v>5000.0</v>
      </c>
      <c r="C5" s="8"/>
      <c r="D5" s="8">
        <v>26318.0</v>
      </c>
      <c r="E5" s="8"/>
      <c r="F5" s="8">
        <v>2000.0</v>
      </c>
      <c r="G5" s="8"/>
      <c r="H5" s="8"/>
      <c r="I5" s="8"/>
      <c r="J5" s="8"/>
      <c r="K5" s="8"/>
      <c r="L5" s="8"/>
      <c r="M5" s="8"/>
      <c r="N5" s="9">
        <f t="shared" ref="N5:N6" si="1">SUM(B5:M5)</f>
        <v>33318</v>
      </c>
    </row>
    <row r="6">
      <c r="A6" s="2" t="s">
        <v>178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9">
        <f t="shared" si="1"/>
        <v>0</v>
      </c>
    </row>
    <row r="7">
      <c r="A7" s="11" t="s">
        <v>179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>
        <f>N5-N6</f>
        <v>33318</v>
      </c>
    </row>
    <row r="9">
      <c r="A9" s="2" t="s">
        <v>180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9">
        <f t="shared" ref="N9:N11" si="2">SUM(B9:M9)</f>
        <v>0</v>
      </c>
    </row>
    <row r="10">
      <c r="A10" s="2" t="s">
        <v>181</v>
      </c>
      <c r="B10" s="8"/>
      <c r="C10" s="8"/>
      <c r="D10" s="8"/>
      <c r="E10" s="8"/>
      <c r="F10" s="7">
        <v>87.0</v>
      </c>
      <c r="G10" s="8"/>
      <c r="H10" s="8"/>
      <c r="I10" s="8"/>
      <c r="J10" s="8"/>
      <c r="K10" s="8"/>
      <c r="L10" s="8"/>
      <c r="M10" s="8"/>
      <c r="N10" s="9">
        <f t="shared" si="2"/>
        <v>87</v>
      </c>
    </row>
    <row r="11">
      <c r="A11" s="11" t="s">
        <v>182</v>
      </c>
      <c r="B11" s="13">
        <f t="shared" ref="B11:M11" si="3">B9-B10</f>
        <v>0</v>
      </c>
      <c r="C11" s="13">
        <f t="shared" si="3"/>
        <v>0</v>
      </c>
      <c r="D11" s="13">
        <f t="shared" si="3"/>
        <v>0</v>
      </c>
      <c r="E11" s="13">
        <f t="shared" si="3"/>
        <v>0</v>
      </c>
      <c r="F11" s="13">
        <f t="shared" si="3"/>
        <v>-87</v>
      </c>
      <c r="G11" s="13">
        <f t="shared" si="3"/>
        <v>0</v>
      </c>
      <c r="H11" s="13">
        <f t="shared" si="3"/>
        <v>0</v>
      </c>
      <c r="I11" s="13">
        <f t="shared" si="3"/>
        <v>0</v>
      </c>
      <c r="J11" s="13">
        <f t="shared" si="3"/>
        <v>0</v>
      </c>
      <c r="K11" s="13">
        <f t="shared" si="3"/>
        <v>0</v>
      </c>
      <c r="L11" s="13">
        <f t="shared" si="3"/>
        <v>0</v>
      </c>
      <c r="M11" s="13">
        <f t="shared" si="3"/>
        <v>0</v>
      </c>
      <c r="N11" s="13">
        <f t="shared" si="2"/>
        <v>-87</v>
      </c>
    </row>
    <row r="12">
      <c r="A12" s="2" t="s">
        <v>183</v>
      </c>
      <c r="B12" s="9">
        <f>B11</f>
        <v>0</v>
      </c>
      <c r="C12" s="9">
        <f t="shared" ref="C12:M12" si="4">B12+C11</f>
        <v>0</v>
      </c>
      <c r="D12" s="9">
        <f t="shared" si="4"/>
        <v>0</v>
      </c>
      <c r="E12" s="9">
        <f t="shared" si="4"/>
        <v>0</v>
      </c>
      <c r="F12" s="9">
        <f t="shared" si="4"/>
        <v>-87</v>
      </c>
      <c r="G12" s="9">
        <f t="shared" si="4"/>
        <v>-87</v>
      </c>
      <c r="H12" s="9">
        <f t="shared" si="4"/>
        <v>-87</v>
      </c>
      <c r="I12" s="9">
        <f t="shared" si="4"/>
        <v>-87</v>
      </c>
      <c r="J12" s="9">
        <f t="shared" si="4"/>
        <v>-87</v>
      </c>
      <c r="K12" s="9">
        <f t="shared" si="4"/>
        <v>-87</v>
      </c>
      <c r="L12" s="9">
        <f t="shared" si="4"/>
        <v>-87</v>
      </c>
      <c r="M12" s="9">
        <f t="shared" si="4"/>
        <v>-87</v>
      </c>
      <c r="N12" s="9"/>
    </row>
    <row r="14">
      <c r="A14" s="17" t="s">
        <v>184</v>
      </c>
    </row>
    <row r="15">
      <c r="A15" s="2" t="s">
        <v>185</v>
      </c>
      <c r="B15" s="9">
        <f>N7</f>
        <v>33318</v>
      </c>
    </row>
    <row r="16">
      <c r="A16" s="2" t="s">
        <v>186</v>
      </c>
      <c r="B16" s="9">
        <f>IFERROR(AVERAGEIF(B11:M11,"&lt;&gt;0"),0)</f>
        <v>-87</v>
      </c>
    </row>
    <row r="17">
      <c r="A17" s="2" t="s">
        <v>187</v>
      </c>
      <c r="B17" s="9">
        <f>B16*12</f>
        <v>-1044</v>
      </c>
    </row>
    <row r="18">
      <c r="A18" s="2" t="s">
        <v>188</v>
      </c>
      <c r="B18" s="18">
        <f>IFERROR(B15/B17,"-")</f>
        <v>-31.9137931</v>
      </c>
    </row>
    <row r="19">
      <c r="A19" s="2" t="s">
        <v>189</v>
      </c>
      <c r="B19" s="19">
        <f>IFERROR(N12/B15,0)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N1"/>
    <mergeCell ref="A2:N2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13" width="11.0"/>
    <col customWidth="1" min="14" max="26" width="8.71"/>
  </cols>
  <sheetData>
    <row r="1">
      <c r="A1" s="16" t="s">
        <v>190</v>
      </c>
    </row>
    <row r="2">
      <c r="A2" s="4" t="s">
        <v>191</v>
      </c>
    </row>
    <row r="4">
      <c r="A4" s="5" t="s">
        <v>192</v>
      </c>
      <c r="B4" s="5" t="s">
        <v>85</v>
      </c>
      <c r="C4" s="5" t="s">
        <v>86</v>
      </c>
      <c r="D4" s="5" t="s">
        <v>87</v>
      </c>
      <c r="E4" s="5" t="s">
        <v>88</v>
      </c>
      <c r="F4" s="5" t="s">
        <v>89</v>
      </c>
      <c r="G4" s="5" t="s">
        <v>90</v>
      </c>
      <c r="H4" s="5" t="s">
        <v>91</v>
      </c>
      <c r="I4" s="5" t="s">
        <v>92</v>
      </c>
      <c r="J4" s="5" t="s">
        <v>93</v>
      </c>
      <c r="K4" s="5" t="s">
        <v>94</v>
      </c>
      <c r="L4" s="5" t="s">
        <v>95</v>
      </c>
      <c r="M4" s="5" t="s">
        <v>96</v>
      </c>
    </row>
    <row r="5">
      <c r="A5" s="2" t="s">
        <v>193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>
      <c r="A6" s="2" t="s">
        <v>194</v>
      </c>
      <c r="B6" s="8"/>
      <c r="C6" s="8"/>
      <c r="D6" s="8"/>
      <c r="E6" s="8"/>
      <c r="F6" s="8">
        <v>28188.03</v>
      </c>
      <c r="G6" s="8"/>
      <c r="H6" s="8"/>
      <c r="I6" s="8"/>
      <c r="J6" s="8"/>
      <c r="K6" s="8"/>
      <c r="L6" s="8"/>
      <c r="M6" s="8"/>
    </row>
    <row r="7">
      <c r="A7" s="2" t="s">
        <v>195</v>
      </c>
      <c r="B7" s="8"/>
      <c r="C7" s="8"/>
      <c r="D7" s="8"/>
      <c r="E7" s="8"/>
      <c r="F7" s="7">
        <v>75.0</v>
      </c>
      <c r="G7" s="7">
        <v>26.0</v>
      </c>
      <c r="H7" s="8"/>
      <c r="I7" s="8"/>
      <c r="J7" s="8"/>
      <c r="K7" s="8"/>
      <c r="L7" s="8"/>
      <c r="M7" s="8"/>
    </row>
    <row r="8">
      <c r="A8" s="2" t="s">
        <v>196</v>
      </c>
      <c r="B8" s="8"/>
      <c r="C8" s="8"/>
      <c r="D8" s="8"/>
      <c r="E8" s="8"/>
      <c r="F8" s="7">
        <v>2929.0</v>
      </c>
      <c r="G8" s="8"/>
      <c r="H8" s="8"/>
      <c r="I8" s="8"/>
      <c r="J8" s="8"/>
      <c r="K8" s="8"/>
      <c r="L8" s="8"/>
      <c r="M8" s="8"/>
    </row>
    <row r="9">
      <c r="A9" s="2" t="s">
        <v>197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</row>
    <row r="10">
      <c r="A10" s="2" t="s">
        <v>198</v>
      </c>
      <c r="B10" s="8"/>
      <c r="C10" s="8"/>
      <c r="D10" s="8"/>
      <c r="E10" s="8"/>
      <c r="F10" s="7">
        <v>14298.0</v>
      </c>
      <c r="G10" s="8"/>
      <c r="H10" s="8"/>
      <c r="I10" s="8"/>
      <c r="J10" s="8"/>
      <c r="K10" s="8"/>
      <c r="L10" s="8"/>
      <c r="M10" s="8"/>
    </row>
    <row r="11">
      <c r="A11" s="2" t="s">
        <v>199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</row>
    <row r="12">
      <c r="A12" s="2" t="s">
        <v>200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</row>
    <row r="13">
      <c r="A13" s="2" t="s">
        <v>201</v>
      </c>
      <c r="B13" s="8"/>
      <c r="C13" s="8"/>
      <c r="D13" s="8"/>
      <c r="E13" s="8"/>
      <c r="F13" s="7">
        <v>228000.0</v>
      </c>
      <c r="G13" s="8"/>
      <c r="H13" s="8"/>
      <c r="I13" s="8"/>
      <c r="J13" s="8"/>
      <c r="K13" s="8"/>
      <c r="L13" s="8"/>
      <c r="M13" s="8"/>
    </row>
    <row r="14">
      <c r="A14" s="2" t="s">
        <v>202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</row>
    <row r="15">
      <c r="A15" s="2" t="s">
        <v>203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</row>
    <row r="16">
      <c r="A16" s="2" t="s">
        <v>204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>
      <c r="A17" s="11" t="s">
        <v>205</v>
      </c>
      <c r="B17" s="13">
        <f t="shared" ref="B17:M17" si="1">SUM(B5:B16)</f>
        <v>0</v>
      </c>
      <c r="C17" s="13">
        <f t="shared" si="1"/>
        <v>0</v>
      </c>
      <c r="D17" s="13">
        <f t="shared" si="1"/>
        <v>0</v>
      </c>
      <c r="E17" s="13">
        <f t="shared" si="1"/>
        <v>0</v>
      </c>
      <c r="F17" s="13">
        <f t="shared" si="1"/>
        <v>273490.03</v>
      </c>
      <c r="G17" s="13">
        <f t="shared" si="1"/>
        <v>26</v>
      </c>
      <c r="H17" s="13">
        <f t="shared" si="1"/>
        <v>0</v>
      </c>
      <c r="I17" s="13">
        <f t="shared" si="1"/>
        <v>0</v>
      </c>
      <c r="J17" s="13">
        <f t="shared" si="1"/>
        <v>0</v>
      </c>
      <c r="K17" s="13">
        <f t="shared" si="1"/>
        <v>0</v>
      </c>
      <c r="L17" s="13">
        <f t="shared" si="1"/>
        <v>0</v>
      </c>
      <c r="M17" s="13">
        <f t="shared" si="1"/>
        <v>0</v>
      </c>
    </row>
    <row r="18">
      <c r="A18" s="2" t="s">
        <v>206</v>
      </c>
      <c r="B18" s="9"/>
      <c r="C18" s="9">
        <f t="shared" ref="C18:M18" si="2">IF(B17=0,0,C17-B17)</f>
        <v>0</v>
      </c>
      <c r="D18" s="9">
        <f t="shared" si="2"/>
        <v>0</v>
      </c>
      <c r="E18" s="9">
        <f t="shared" si="2"/>
        <v>0</v>
      </c>
      <c r="F18" s="9">
        <f t="shared" si="2"/>
        <v>0</v>
      </c>
      <c r="G18" s="9">
        <f t="shared" si="2"/>
        <v>-273464.03</v>
      </c>
      <c r="H18" s="9">
        <f t="shared" si="2"/>
        <v>-26</v>
      </c>
      <c r="I18" s="9">
        <f t="shared" si="2"/>
        <v>0</v>
      </c>
      <c r="J18" s="9">
        <f t="shared" si="2"/>
        <v>0</v>
      </c>
      <c r="K18" s="9">
        <f t="shared" si="2"/>
        <v>0</v>
      </c>
      <c r="L18" s="9">
        <f t="shared" si="2"/>
        <v>0</v>
      </c>
      <c r="M18" s="9">
        <f t="shared" si="2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N1"/>
    <mergeCell ref="A2:N2"/>
  </mergeCells>
  <conditionalFormatting sqref="C18:M18">
    <cfRule type="cellIs" dxfId="1" priority="1" operator="lessThan">
      <formula>0</formula>
    </cfRule>
  </conditionalFormatting>
  <conditionalFormatting sqref="C18:M18">
    <cfRule type="cellIs" dxfId="0" priority="2" operator="greaterThan">
      <formula>0</formula>
    </cfRule>
  </conditionalFormatting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3" width="14.0"/>
    <col customWidth="1" min="4" max="4" width="18.0"/>
    <col customWidth="1" min="5" max="5" width="10.0"/>
    <col customWidth="1" min="6" max="6" width="77.43"/>
    <col customWidth="1" min="7" max="26" width="8.71"/>
  </cols>
  <sheetData>
    <row r="1">
      <c r="A1" s="16" t="s">
        <v>207</v>
      </c>
    </row>
    <row r="2">
      <c r="A2" s="4" t="s">
        <v>208</v>
      </c>
    </row>
    <row r="4">
      <c r="A4" s="6" t="s">
        <v>209</v>
      </c>
      <c r="B4" s="6"/>
      <c r="C4" s="6"/>
      <c r="D4" s="6"/>
      <c r="E4" s="6"/>
      <c r="F4" s="6"/>
    </row>
    <row r="5">
      <c r="A5" s="5" t="s">
        <v>176</v>
      </c>
      <c r="B5" s="5" t="s">
        <v>210</v>
      </c>
      <c r="C5" s="5" t="s">
        <v>157</v>
      </c>
      <c r="D5" s="5" t="s">
        <v>211</v>
      </c>
      <c r="E5" s="5" t="s">
        <v>212</v>
      </c>
      <c r="F5" s="5" t="s">
        <v>213</v>
      </c>
    </row>
    <row r="6">
      <c r="A6" s="2" t="s">
        <v>214</v>
      </c>
      <c r="B6" s="9"/>
      <c r="C6" s="9">
        <v>41980.0</v>
      </c>
      <c r="D6" s="9"/>
      <c r="F6" s="2" t="s">
        <v>215</v>
      </c>
    </row>
    <row r="7">
      <c r="A7" s="2" t="s">
        <v>216</v>
      </c>
      <c r="B7" s="20">
        <v>0.23</v>
      </c>
      <c r="C7" s="9"/>
      <c r="D7" s="9" t="s">
        <v>217</v>
      </c>
      <c r="F7" s="2" t="s">
        <v>218</v>
      </c>
    </row>
    <row r="8">
      <c r="A8" s="2" t="s">
        <v>219</v>
      </c>
      <c r="B8" s="9"/>
      <c r="C8" s="15">
        <v>8794.41</v>
      </c>
      <c r="D8" s="9">
        <v>23500.0</v>
      </c>
      <c r="F8" s="2" t="s">
        <v>220</v>
      </c>
    </row>
    <row r="9">
      <c r="A9" s="2" t="s">
        <v>221</v>
      </c>
      <c r="B9" s="9">
        <v>109.92</v>
      </c>
      <c r="C9" s="9">
        <v>1249.83</v>
      </c>
      <c r="D9" s="9">
        <v>4338.0</v>
      </c>
      <c r="F9" s="2" t="s">
        <v>222</v>
      </c>
    </row>
    <row r="10">
      <c r="A10" s="2" t="s">
        <v>223</v>
      </c>
      <c r="B10" s="9"/>
      <c r="C10" s="15">
        <v>3164.0</v>
      </c>
      <c r="D10" s="9">
        <v>4338.0</v>
      </c>
      <c r="F10" s="2" t="s">
        <v>224</v>
      </c>
    </row>
    <row r="11">
      <c r="A11" s="2" t="s">
        <v>225</v>
      </c>
      <c r="B11" s="9">
        <v>153.85</v>
      </c>
      <c r="C11" s="9">
        <v>1538.5</v>
      </c>
      <c r="D11" s="9">
        <v>4000.0</v>
      </c>
      <c r="E11" s="21">
        <f t="shared" ref="E11:E13" si="1">C11/D11</f>
        <v>0.384625</v>
      </c>
      <c r="F11" s="2" t="s">
        <v>226</v>
      </c>
    </row>
    <row r="12">
      <c r="A12" s="2" t="s">
        <v>227</v>
      </c>
      <c r="B12" s="9">
        <v>96.15</v>
      </c>
      <c r="C12" s="9">
        <v>961.5</v>
      </c>
      <c r="D12" s="9">
        <v>3300.0</v>
      </c>
      <c r="E12" s="21">
        <f t="shared" si="1"/>
        <v>0.2913636364</v>
      </c>
      <c r="F12" s="2" t="s">
        <v>228</v>
      </c>
    </row>
    <row r="13">
      <c r="A13" s="2" t="s">
        <v>229</v>
      </c>
      <c r="B13" s="9"/>
      <c r="C13" s="9">
        <v>3634.0</v>
      </c>
      <c r="D13" s="9">
        <v>5250.0</v>
      </c>
      <c r="E13" s="21">
        <f t="shared" si="1"/>
        <v>0.6921904762</v>
      </c>
      <c r="F13" s="2" t="s">
        <v>230</v>
      </c>
    </row>
    <row r="14">
      <c r="A14" s="2" t="s">
        <v>231</v>
      </c>
      <c r="B14" s="9"/>
      <c r="C14" s="9">
        <v>2964.21</v>
      </c>
      <c r="D14" s="9"/>
      <c r="F14" s="2" t="s">
        <v>232</v>
      </c>
    </row>
    <row r="15">
      <c r="A15" s="2" t="s">
        <v>233</v>
      </c>
      <c r="B15" s="9"/>
      <c r="C15" s="9"/>
      <c r="D15" s="9"/>
      <c r="F15" s="2" t="s">
        <v>234</v>
      </c>
    </row>
    <row r="17">
      <c r="A17" s="6" t="s">
        <v>235</v>
      </c>
      <c r="B17" s="6"/>
      <c r="C17" s="6"/>
      <c r="D17" s="6"/>
      <c r="E17" s="6"/>
      <c r="F17" s="6"/>
    </row>
    <row r="18">
      <c r="A18" s="5" t="s">
        <v>176</v>
      </c>
      <c r="B18" s="5" t="s">
        <v>210</v>
      </c>
      <c r="C18" s="5" t="s">
        <v>157</v>
      </c>
      <c r="D18" s="5" t="s">
        <v>211</v>
      </c>
      <c r="E18" s="5" t="s">
        <v>212</v>
      </c>
      <c r="F18" s="5" t="s">
        <v>213</v>
      </c>
    </row>
    <row r="19">
      <c r="A19" s="2" t="s">
        <v>236</v>
      </c>
      <c r="B19" s="9"/>
      <c r="C19" s="9"/>
      <c r="D19" s="9"/>
      <c r="F19" s="2" t="s">
        <v>237</v>
      </c>
    </row>
    <row r="20">
      <c r="A20" s="2" t="s">
        <v>238</v>
      </c>
      <c r="B20" s="9">
        <v>0.0</v>
      </c>
      <c r="C20" s="9">
        <v>0.0</v>
      </c>
      <c r="D20" s="9">
        <v>23500.0</v>
      </c>
      <c r="E20" s="21" t="s">
        <v>239</v>
      </c>
      <c r="F20" s="2" t="s">
        <v>240</v>
      </c>
    </row>
    <row r="21" ht="15.75" customHeight="1">
      <c r="A21" s="2" t="s">
        <v>241</v>
      </c>
      <c r="B21" s="9"/>
      <c r="C21" s="9"/>
      <c r="D21" s="9"/>
      <c r="F21" s="2" t="s">
        <v>242</v>
      </c>
    </row>
    <row r="22" ht="15.75" customHeight="1">
      <c r="A22" s="2" t="s">
        <v>243</v>
      </c>
      <c r="B22" s="9"/>
      <c r="C22" s="9"/>
      <c r="D22" s="9"/>
      <c r="F22" s="2" t="s">
        <v>244</v>
      </c>
    </row>
    <row r="23" ht="15.75" customHeight="1"/>
    <row r="24" ht="15.75" customHeight="1">
      <c r="A24" s="6" t="s">
        <v>245</v>
      </c>
      <c r="B24" s="6"/>
      <c r="C24" s="6"/>
      <c r="D24" s="6"/>
      <c r="E24" s="6"/>
      <c r="F24" s="6"/>
    </row>
    <row r="25" ht="15.75" customHeight="1">
      <c r="A25" s="5" t="s">
        <v>176</v>
      </c>
      <c r="B25" s="5" t="s">
        <v>246</v>
      </c>
      <c r="C25" s="5" t="s">
        <v>157</v>
      </c>
      <c r="D25" s="5" t="s">
        <v>247</v>
      </c>
      <c r="E25" s="5" t="s">
        <v>212</v>
      </c>
      <c r="F25" s="5" t="s">
        <v>213</v>
      </c>
    </row>
    <row r="26" ht="15.75" customHeight="1">
      <c r="A26" s="2" t="s">
        <v>248</v>
      </c>
      <c r="B26" s="9">
        <v>100.0</v>
      </c>
      <c r="C26" s="9">
        <f>B26*5</f>
        <v>500</v>
      </c>
      <c r="D26" s="9">
        <v>2000.0</v>
      </c>
      <c r="E26" s="21">
        <f>C26/D26</f>
        <v>0.25</v>
      </c>
      <c r="F26" s="2" t="s">
        <v>249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0.0"/>
    <col customWidth="1" min="2" max="2" width="24.0"/>
    <col customWidth="1" min="3" max="3" width="26.43"/>
    <col customWidth="1" min="4" max="6" width="24.0"/>
    <col customWidth="1" min="7" max="26" width="8.71"/>
  </cols>
  <sheetData>
    <row r="1">
      <c r="A1" s="16" t="s">
        <v>250</v>
      </c>
    </row>
    <row r="2">
      <c r="A2" s="4" t="s">
        <v>251</v>
      </c>
    </row>
    <row r="4">
      <c r="A4" s="6" t="s">
        <v>252</v>
      </c>
      <c r="B4" s="6"/>
      <c r="C4" s="6"/>
      <c r="D4" s="6"/>
      <c r="E4" s="6"/>
      <c r="F4" s="6"/>
    </row>
    <row r="5">
      <c r="A5" s="2" t="s">
        <v>253</v>
      </c>
      <c r="B5" s="22">
        <v>0.07</v>
      </c>
      <c r="C5" s="2" t="s">
        <v>254</v>
      </c>
    </row>
    <row r="6">
      <c r="A6" s="2" t="s">
        <v>255</v>
      </c>
      <c r="B6" s="23">
        <v>20.0</v>
      </c>
    </row>
    <row r="7">
      <c r="A7" s="2" t="s">
        <v>256</v>
      </c>
      <c r="B7" s="22">
        <v>0.05</v>
      </c>
    </row>
    <row r="8">
      <c r="A8" s="2" t="s">
        <v>257</v>
      </c>
      <c r="B8" s="22">
        <v>0.22</v>
      </c>
    </row>
    <row r="10">
      <c r="A10" s="6" t="s">
        <v>258</v>
      </c>
      <c r="B10" s="6"/>
      <c r="C10" s="6"/>
      <c r="D10" s="6"/>
      <c r="E10" s="6"/>
      <c r="F10" s="6"/>
    </row>
    <row r="11">
      <c r="A11" s="5" t="s">
        <v>259</v>
      </c>
      <c r="B11" s="5" t="s">
        <v>260</v>
      </c>
      <c r="C11" s="5" t="s">
        <v>261</v>
      </c>
      <c r="D11" s="5" t="s">
        <v>262</v>
      </c>
      <c r="E11" s="5" t="s">
        <v>263</v>
      </c>
      <c r="F11" s="5" t="s">
        <v>264</v>
      </c>
    </row>
    <row r="12">
      <c r="A12" s="2" t="s">
        <v>265</v>
      </c>
      <c r="B12" s="24">
        <v>0.0</v>
      </c>
      <c r="C12" s="25">
        <v>0.0</v>
      </c>
      <c r="D12" s="24">
        <v>0.0</v>
      </c>
      <c r="E12" s="23">
        <v>0.0</v>
      </c>
      <c r="F12" s="9">
        <f t="shared" ref="F12:F14" si="1">D12*E12-B12</f>
        <v>0</v>
      </c>
    </row>
    <row r="13">
      <c r="A13" s="2" t="s">
        <v>266</v>
      </c>
      <c r="B13" s="24">
        <v>14374.0</v>
      </c>
      <c r="C13" s="25">
        <v>0.0635</v>
      </c>
      <c r="D13" s="24">
        <v>384.16</v>
      </c>
      <c r="E13" s="26">
        <v>48.0</v>
      </c>
      <c r="F13" s="9">
        <f t="shared" si="1"/>
        <v>4065.68</v>
      </c>
    </row>
    <row r="14">
      <c r="A14" s="2" t="s">
        <v>267</v>
      </c>
      <c r="B14" s="27">
        <v>350000.0</v>
      </c>
      <c r="C14" s="25">
        <v>0.0575</v>
      </c>
      <c r="D14" s="27">
        <v>3289.0</v>
      </c>
      <c r="E14" s="26">
        <v>320.0</v>
      </c>
      <c r="F14" s="9">
        <f t="shared" si="1"/>
        <v>702480</v>
      </c>
    </row>
    <row r="16">
      <c r="A16" s="6" t="s">
        <v>268</v>
      </c>
      <c r="B16" s="6"/>
      <c r="C16" s="6"/>
      <c r="D16" s="6"/>
      <c r="E16" s="6"/>
      <c r="F16" s="6"/>
    </row>
    <row r="17">
      <c r="A17" s="28" t="s">
        <v>269</v>
      </c>
      <c r="B17" s="28" t="s">
        <v>270</v>
      </c>
      <c r="C17" s="29" t="s">
        <v>271</v>
      </c>
      <c r="D17" s="29" t="s">
        <v>272</v>
      </c>
      <c r="E17" s="29" t="s">
        <v>273</v>
      </c>
      <c r="F17" s="29" t="s">
        <v>274</v>
      </c>
    </row>
    <row r="18">
      <c r="A18" s="2" t="s">
        <v>275</v>
      </c>
      <c r="B18" s="9">
        <v>0.0</v>
      </c>
      <c r="C18" s="9">
        <f>-300</f>
        <v>-300</v>
      </c>
      <c r="D18" s="9">
        <f>451-1167</f>
        <v>-716</v>
      </c>
      <c r="E18" s="9">
        <f>451-300</f>
        <v>151</v>
      </c>
      <c r="F18" s="9">
        <f>451-1167-300-200</f>
        <v>-1216</v>
      </c>
    </row>
    <row r="19">
      <c r="A19" s="2" t="s">
        <v>276</v>
      </c>
      <c r="B19" s="9">
        <v>0.0</v>
      </c>
      <c r="C19" s="9">
        <f>300*12</f>
        <v>3600</v>
      </c>
      <c r="D19" s="9">
        <f>14000</f>
        <v>14000</v>
      </c>
      <c r="E19" s="9">
        <f>300*12</f>
        <v>3600</v>
      </c>
      <c r="F19" s="9">
        <f>300*12+14000+200*12</f>
        <v>20000</v>
      </c>
    </row>
    <row r="20">
      <c r="A20" s="2" t="s">
        <v>277</v>
      </c>
      <c r="B20" s="9">
        <v>0.0</v>
      </c>
      <c r="C20" s="9">
        <f>300*12*($B$8+$B$7)</f>
        <v>972</v>
      </c>
      <c r="D20" s="9">
        <f>0</f>
        <v>0</v>
      </c>
      <c r="E20" s="9">
        <f>300*12*($B$8+$B$7)</f>
        <v>972</v>
      </c>
      <c r="F20" s="9">
        <f>300*12*($B$8+$B$7)+MIN(200*12,2000)*$B$7</f>
        <v>1072</v>
      </c>
    </row>
    <row r="21" ht="15.75" customHeight="1">
      <c r="A21" s="2" t="s">
        <v>278</v>
      </c>
      <c r="B21" s="9">
        <v>0.0</v>
      </c>
      <c r="C21" s="9">
        <f>0</f>
        <v>0</v>
      </c>
      <c r="D21" s="9">
        <f>F12</f>
        <v>0</v>
      </c>
      <c r="E21" s="9">
        <f>F12</f>
        <v>0</v>
      </c>
      <c r="F21" s="9">
        <f>F12</f>
        <v>0</v>
      </c>
    </row>
    <row r="22" ht="15.75" customHeight="1">
      <c r="A22" s="2" t="s">
        <v>279</v>
      </c>
      <c r="B22" s="9">
        <v>0.0</v>
      </c>
      <c r="C22" s="9">
        <f>300*((((1+$B$5/12)^($B$6*12))-1)/($B$5/12))</f>
        <v>156277.9979</v>
      </c>
      <c r="D22" s="9">
        <f>(14000/12)*((((1+$B$5/12)^($B$6*12))-1)/($B$5/12))</f>
        <v>607747.7698</v>
      </c>
      <c r="E22" s="9">
        <f>300*((((1+$B$5/12)^($B$6*12))-1)/($B$5/12))</f>
        <v>156277.9979</v>
      </c>
      <c r="F22" s="9">
        <f>(300+200)*((((1+$B$5/12)^($B$6*12))-1)/($B$5/12))+(14000/12)*((((1+$B$5/12)^($B$6*12))-1)/($B$5/12))</f>
        <v>868211.0997</v>
      </c>
    </row>
    <row r="23" ht="15.75" customHeight="1">
      <c r="A23" s="2" t="s">
        <v>280</v>
      </c>
      <c r="B23" s="9">
        <f t="shared" ref="B23:F23" si="2">B22+B21+B20*$B$6</f>
        <v>0</v>
      </c>
      <c r="C23" s="9">
        <f t="shared" si="2"/>
        <v>175717.9979</v>
      </c>
      <c r="D23" s="9">
        <f t="shared" si="2"/>
        <v>607747.7698</v>
      </c>
      <c r="E23" s="9">
        <f t="shared" si="2"/>
        <v>175717.9979</v>
      </c>
      <c r="F23" s="9">
        <f t="shared" si="2"/>
        <v>889651.0997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0.0"/>
    <col customWidth="1" min="2" max="26" width="8.71"/>
  </cols>
  <sheetData>
    <row r="1">
      <c r="A1" s="16" t="s">
        <v>281</v>
      </c>
    </row>
    <row r="2">
      <c r="A2" s="4" t="s">
        <v>282</v>
      </c>
    </row>
    <row r="4">
      <c r="A4" s="30" t="s">
        <v>283</v>
      </c>
    </row>
    <row r="5">
      <c r="A5" s="10" t="s">
        <v>284</v>
      </c>
      <c r="B5" s="10" t="s">
        <v>85</v>
      </c>
      <c r="C5" s="10" t="s">
        <v>86</v>
      </c>
      <c r="D5" s="10" t="s">
        <v>87</v>
      </c>
      <c r="E5" s="10" t="s">
        <v>88</v>
      </c>
      <c r="F5" s="10" t="s">
        <v>89</v>
      </c>
      <c r="G5" s="10" t="s">
        <v>90</v>
      </c>
      <c r="H5" s="10" t="s">
        <v>91</v>
      </c>
      <c r="I5" s="10" t="s">
        <v>92</v>
      </c>
      <c r="J5" s="10" t="s">
        <v>93</v>
      </c>
      <c r="K5" s="10" t="s">
        <v>94</v>
      </c>
      <c r="L5" s="10" t="s">
        <v>95</v>
      </c>
      <c r="M5" s="10" t="s">
        <v>96</v>
      </c>
    </row>
    <row r="6">
      <c r="A6" s="10" t="s">
        <v>108</v>
      </c>
      <c r="B6" s="31">
        <f>'Income Statement'!B15</f>
        <v>11876.79</v>
      </c>
      <c r="C6" s="31">
        <f>'Income Statement'!C15</f>
        <v>11401.02</v>
      </c>
      <c r="D6" s="31">
        <f>'Income Statement'!D15</f>
        <v>10429.19</v>
      </c>
      <c r="E6" s="31">
        <f>'Income Statement'!E15</f>
        <v>16039.88</v>
      </c>
      <c r="F6" s="31">
        <f>'Income Statement'!F15</f>
        <v>12772.92</v>
      </c>
      <c r="G6" s="31">
        <f>'Income Statement'!G15</f>
        <v>90.95</v>
      </c>
      <c r="H6" s="31">
        <f>'Income Statement'!H15</f>
        <v>0</v>
      </c>
      <c r="I6" s="31">
        <f>'Income Statement'!I15</f>
        <v>0</v>
      </c>
      <c r="J6" s="31">
        <f>'Income Statement'!J15</f>
        <v>0</v>
      </c>
      <c r="K6" s="31">
        <f>'Income Statement'!K15</f>
        <v>0</v>
      </c>
      <c r="L6" s="31">
        <f>'Income Statement'!L15</f>
        <v>0</v>
      </c>
      <c r="M6" s="31">
        <f>'Income Statement'!M15</f>
        <v>0</v>
      </c>
    </row>
    <row r="7">
      <c r="A7" s="10" t="s">
        <v>285</v>
      </c>
      <c r="B7" s="2" t="str">
        <f>'Income Statement'!B61</f>
        <v/>
      </c>
      <c r="C7" s="2" t="str">
        <f>'Income Statement'!C61</f>
        <v/>
      </c>
      <c r="D7" s="2" t="str">
        <f>'Income Statement'!D61</f>
        <v/>
      </c>
      <c r="E7" s="2" t="str">
        <f>'Income Statement'!E61</f>
        <v/>
      </c>
      <c r="F7" s="2" t="str">
        <f>'Income Statement'!F61</f>
        <v/>
      </c>
      <c r="G7" s="2" t="str">
        <f>'Income Statement'!G61</f>
        <v/>
      </c>
      <c r="H7" s="2" t="str">
        <f>'Income Statement'!H61</f>
        <v/>
      </c>
      <c r="I7" s="2" t="str">
        <f>'Income Statement'!I61</f>
        <v/>
      </c>
      <c r="J7" s="2" t="str">
        <f>'Income Statement'!J61</f>
        <v/>
      </c>
      <c r="K7" s="2" t="str">
        <f>'Income Statement'!K61</f>
        <v/>
      </c>
      <c r="L7" s="2" t="str">
        <f>'Income Statement'!L61</f>
        <v/>
      </c>
      <c r="M7" s="2" t="str">
        <f>'Income Statement'!M61</f>
        <v/>
      </c>
    </row>
    <row r="8">
      <c r="A8" s="10" t="s">
        <v>286</v>
      </c>
      <c r="B8" s="2" t="str">
        <f>'Income Statement'!B63</f>
        <v/>
      </c>
      <c r="C8" s="2" t="str">
        <f>'Income Statement'!C63</f>
        <v/>
      </c>
      <c r="D8" s="2" t="str">
        <f>'Income Statement'!D63</f>
        <v/>
      </c>
      <c r="E8" s="2" t="str">
        <f>'Income Statement'!E63</f>
        <v/>
      </c>
      <c r="F8" s="2" t="str">
        <f>'Income Statement'!F63</f>
        <v/>
      </c>
      <c r="G8" s="2" t="str">
        <f>'Income Statement'!G63</f>
        <v/>
      </c>
      <c r="H8" s="2" t="str">
        <f>'Income Statement'!H63</f>
        <v/>
      </c>
      <c r="I8" s="2" t="str">
        <f>'Income Statement'!I63</f>
        <v/>
      </c>
      <c r="J8" s="2" t="str">
        <f>'Income Statement'!J63</f>
        <v/>
      </c>
      <c r="K8" s="2" t="str">
        <f>'Income Statement'!K63</f>
        <v/>
      </c>
      <c r="L8" s="2" t="str">
        <f>'Income Statement'!L63</f>
        <v/>
      </c>
      <c r="M8" s="2" t="str">
        <f>'Income Statement'!M63</f>
        <v/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>
      <c r="A28" s="30" t="s">
        <v>287</v>
      </c>
    </row>
    <row r="29" ht="15.75" customHeight="1">
      <c r="A29" s="10" t="s">
        <v>284</v>
      </c>
      <c r="B29" s="10" t="s">
        <v>85</v>
      </c>
      <c r="C29" s="10" t="s">
        <v>86</v>
      </c>
      <c r="D29" s="10" t="s">
        <v>87</v>
      </c>
      <c r="E29" s="10" t="s">
        <v>88</v>
      </c>
      <c r="F29" s="10" t="s">
        <v>89</v>
      </c>
      <c r="G29" s="10" t="s">
        <v>90</v>
      </c>
      <c r="H29" s="10" t="s">
        <v>91</v>
      </c>
      <c r="I29" s="10" t="s">
        <v>92</v>
      </c>
      <c r="J29" s="10" t="s">
        <v>93</v>
      </c>
      <c r="K29" s="10" t="s">
        <v>94</v>
      </c>
      <c r="L29" s="10" t="s">
        <v>95</v>
      </c>
      <c r="M29" s="10" t="s">
        <v>96</v>
      </c>
    </row>
    <row r="30" ht="15.75" customHeight="1">
      <c r="A30" s="10" t="s">
        <v>183</v>
      </c>
      <c r="B30" s="31">
        <f>'Solar ROI'!B12</f>
        <v>0</v>
      </c>
      <c r="C30" s="31">
        <f>'Solar ROI'!C12</f>
        <v>0</v>
      </c>
      <c r="D30" s="31">
        <f>'Solar ROI'!D12</f>
        <v>0</v>
      </c>
      <c r="E30" s="31">
        <f>'Solar ROI'!E12</f>
        <v>0</v>
      </c>
      <c r="F30" s="31">
        <f>'Solar ROI'!F12</f>
        <v>-87</v>
      </c>
      <c r="G30" s="31">
        <f>'Solar ROI'!G12</f>
        <v>-87</v>
      </c>
      <c r="H30" s="31">
        <f>'Solar ROI'!H12</f>
        <v>-87</v>
      </c>
      <c r="I30" s="31">
        <f>'Solar ROI'!I12</f>
        <v>-87</v>
      </c>
      <c r="J30" s="31">
        <f>'Solar ROI'!J12</f>
        <v>-87</v>
      </c>
      <c r="K30" s="31">
        <f>'Solar ROI'!K12</f>
        <v>-87</v>
      </c>
      <c r="L30" s="31">
        <f>'Solar ROI'!L12</f>
        <v>-87</v>
      </c>
      <c r="M30" s="31">
        <f>'Solar ROI'!M12</f>
        <v>-87</v>
      </c>
    </row>
    <row r="31" ht="15.75" customHeight="1">
      <c r="A31" s="10" t="s">
        <v>288</v>
      </c>
      <c r="B31" s="31">
        <f>'Solar ROI'!$N$7</f>
        <v>33318</v>
      </c>
      <c r="C31" s="31">
        <f>'Solar ROI'!$N$7</f>
        <v>33318</v>
      </c>
      <c r="D31" s="31">
        <f>'Solar ROI'!$N$7</f>
        <v>33318</v>
      </c>
      <c r="E31" s="31">
        <f>'Solar ROI'!$N$7</f>
        <v>33318</v>
      </c>
      <c r="F31" s="31">
        <f>'Solar ROI'!$N$7</f>
        <v>33318</v>
      </c>
      <c r="G31" s="31">
        <f>'Solar ROI'!$N$7</f>
        <v>33318</v>
      </c>
      <c r="H31" s="31">
        <f>'Solar ROI'!$N$7</f>
        <v>33318</v>
      </c>
      <c r="I31" s="31">
        <f>'Solar ROI'!$N$7</f>
        <v>33318</v>
      </c>
      <c r="J31" s="31">
        <f>'Solar ROI'!$N$7</f>
        <v>33318</v>
      </c>
      <c r="K31" s="31">
        <f>'Solar ROI'!$N$7</f>
        <v>33318</v>
      </c>
      <c r="L31" s="31">
        <f>'Solar ROI'!$N$7</f>
        <v>33318</v>
      </c>
      <c r="M31" s="31">
        <f>'Solar ROI'!$N$7</f>
        <v>33318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>
      <c r="A45" s="30" t="s">
        <v>289</v>
      </c>
    </row>
    <row r="46" ht="15.75" customHeight="1">
      <c r="A46" s="10" t="s">
        <v>284</v>
      </c>
      <c r="B46" s="10" t="s">
        <v>85</v>
      </c>
      <c r="C46" s="10" t="s">
        <v>86</v>
      </c>
      <c r="D46" s="10" t="s">
        <v>87</v>
      </c>
      <c r="E46" s="10" t="s">
        <v>88</v>
      </c>
      <c r="F46" s="10" t="s">
        <v>89</v>
      </c>
      <c r="G46" s="10" t="s">
        <v>90</v>
      </c>
      <c r="H46" s="10" t="s">
        <v>91</v>
      </c>
      <c r="I46" s="10" t="s">
        <v>92</v>
      </c>
      <c r="J46" s="10" t="s">
        <v>93</v>
      </c>
      <c r="K46" s="10" t="s">
        <v>94</v>
      </c>
      <c r="L46" s="10" t="s">
        <v>95</v>
      </c>
      <c r="M46" s="10" t="s">
        <v>96</v>
      </c>
    </row>
    <row r="47" ht="15.75" customHeight="1">
      <c r="A47" s="10" t="s">
        <v>205</v>
      </c>
      <c r="B47" s="31">
        <f>Balances!B17</f>
        <v>0</v>
      </c>
      <c r="C47" s="31">
        <f>Balances!C17</f>
        <v>0</v>
      </c>
      <c r="D47" s="31">
        <f>Balances!D17</f>
        <v>0</v>
      </c>
      <c r="E47" s="31">
        <f>Balances!E17</f>
        <v>0</v>
      </c>
      <c r="F47" s="31">
        <f>Balances!F17</f>
        <v>273490.03</v>
      </c>
      <c r="G47" s="31">
        <f>Balances!G17</f>
        <v>26</v>
      </c>
      <c r="H47" s="31">
        <f>Balances!H17</f>
        <v>0</v>
      </c>
      <c r="I47" s="31">
        <f>Balances!I17</f>
        <v>0</v>
      </c>
      <c r="J47" s="31">
        <f>Balances!J17</f>
        <v>0</v>
      </c>
      <c r="K47" s="31">
        <f>Balances!K17</f>
        <v>0</v>
      </c>
      <c r="L47" s="31">
        <f>Balances!L17</f>
        <v>0</v>
      </c>
      <c r="M47" s="31">
        <f>Balances!M17</f>
        <v>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4.0"/>
    <col customWidth="1" min="2" max="2" width="74.29"/>
    <col customWidth="1" min="3" max="6" width="14.0"/>
    <col customWidth="1" min="7" max="7" width="22.0"/>
    <col customWidth="1" min="8" max="26" width="8.71"/>
  </cols>
  <sheetData>
    <row r="1">
      <c r="A1" s="16" t="s">
        <v>290</v>
      </c>
    </row>
    <row r="2">
      <c r="A2" s="4" t="s">
        <v>291</v>
      </c>
    </row>
    <row r="4">
      <c r="A4" s="5" t="s">
        <v>292</v>
      </c>
      <c r="B4" s="5" t="s">
        <v>293</v>
      </c>
      <c r="C4" s="5" t="s">
        <v>294</v>
      </c>
      <c r="D4" s="5" t="s">
        <v>295</v>
      </c>
      <c r="E4" s="5" t="s">
        <v>296</v>
      </c>
      <c r="F4" s="5" t="s">
        <v>260</v>
      </c>
      <c r="G4" s="5" t="s">
        <v>297</v>
      </c>
    </row>
    <row r="5">
      <c r="A5" s="32"/>
      <c r="B5" s="33"/>
      <c r="C5" s="34"/>
      <c r="D5" s="33"/>
      <c r="E5" s="32"/>
      <c r="F5" s="32"/>
      <c r="G5" s="10"/>
    </row>
    <row r="6">
      <c r="A6" s="32"/>
      <c r="B6" s="33"/>
      <c r="C6" s="34"/>
      <c r="D6" s="33"/>
      <c r="E6" s="32"/>
      <c r="F6" s="32"/>
      <c r="G6" s="10"/>
    </row>
    <row r="7">
      <c r="A7" s="32"/>
      <c r="B7" s="33"/>
      <c r="C7" s="34"/>
      <c r="D7" s="33"/>
      <c r="E7" s="32"/>
      <c r="F7" s="32"/>
      <c r="G7" s="10"/>
    </row>
    <row r="8">
      <c r="A8" s="32"/>
      <c r="B8" s="33"/>
      <c r="C8" s="34"/>
      <c r="D8" s="33"/>
      <c r="E8" s="32"/>
      <c r="F8" s="32"/>
      <c r="G8" s="10"/>
    </row>
    <row r="9">
      <c r="A9" s="32"/>
      <c r="B9" s="33"/>
      <c r="C9" s="34"/>
      <c r="D9" s="33"/>
      <c r="E9" s="32"/>
      <c r="F9" s="32"/>
      <c r="G9" s="10"/>
    </row>
    <row r="10">
      <c r="A10" s="32"/>
      <c r="B10" s="33"/>
      <c r="C10" s="34"/>
      <c r="D10" s="33"/>
      <c r="E10" s="32"/>
      <c r="F10" s="32"/>
      <c r="G10" s="10"/>
    </row>
    <row r="11">
      <c r="A11" s="32"/>
      <c r="B11" s="33"/>
      <c r="C11" s="34"/>
      <c r="D11" s="33"/>
      <c r="E11" s="32"/>
      <c r="F11" s="32"/>
      <c r="G11" s="10"/>
    </row>
    <row r="12">
      <c r="A12" s="32"/>
      <c r="B12" s="33"/>
      <c r="C12" s="34"/>
      <c r="D12" s="33"/>
      <c r="E12" s="32"/>
      <c r="F12" s="32"/>
      <c r="G12" s="10"/>
    </row>
    <row r="13">
      <c r="A13" s="32"/>
      <c r="B13" s="33"/>
      <c r="C13" s="34"/>
      <c r="D13" s="33"/>
      <c r="E13" s="32"/>
      <c r="F13" s="32"/>
      <c r="G13" s="10"/>
    </row>
    <row r="14">
      <c r="A14" s="32"/>
      <c r="B14" s="33"/>
      <c r="C14" s="34"/>
      <c r="D14" s="33"/>
      <c r="E14" s="32"/>
      <c r="F14" s="32"/>
      <c r="G14" s="10"/>
    </row>
    <row r="15">
      <c r="A15" s="32"/>
      <c r="B15" s="33"/>
      <c r="C15" s="34"/>
      <c r="D15" s="33"/>
      <c r="E15" s="32"/>
      <c r="F15" s="32"/>
      <c r="G15" s="10"/>
    </row>
    <row r="16">
      <c r="A16" s="32"/>
      <c r="B16" s="33"/>
      <c r="C16" s="34"/>
      <c r="D16" s="33"/>
      <c r="E16" s="32"/>
      <c r="F16" s="32"/>
      <c r="G16" s="10"/>
    </row>
    <row r="17">
      <c r="A17" s="32"/>
      <c r="B17" s="33"/>
      <c r="C17" s="34"/>
      <c r="D17" s="33"/>
      <c r="E17" s="32"/>
      <c r="F17" s="32"/>
      <c r="G17" s="10"/>
    </row>
    <row r="18">
      <c r="A18" s="32"/>
      <c r="B18" s="33"/>
      <c r="C18" s="34"/>
      <c r="D18" s="33"/>
      <c r="E18" s="32"/>
      <c r="F18" s="32"/>
      <c r="G18" s="10"/>
    </row>
    <row r="19">
      <c r="A19" s="32"/>
      <c r="B19" s="33"/>
      <c r="C19" s="34"/>
      <c r="D19" s="33"/>
      <c r="E19" s="32"/>
      <c r="F19" s="32"/>
      <c r="G19" s="10"/>
    </row>
    <row r="20">
      <c r="A20" s="32"/>
      <c r="B20" s="33"/>
      <c r="C20" s="34"/>
      <c r="D20" s="33"/>
      <c r="E20" s="32"/>
      <c r="F20" s="32"/>
      <c r="G20" s="10"/>
    </row>
    <row r="21" ht="15.75" customHeight="1">
      <c r="A21" s="32"/>
      <c r="B21" s="33"/>
      <c r="C21" s="34"/>
      <c r="D21" s="33"/>
      <c r="E21" s="32"/>
      <c r="F21" s="32"/>
      <c r="G21" s="10"/>
    </row>
    <row r="22" ht="15.75" customHeight="1">
      <c r="A22" s="32"/>
      <c r="B22" s="33"/>
      <c r="C22" s="34"/>
      <c r="D22" s="33"/>
      <c r="E22" s="32"/>
      <c r="F22" s="32"/>
      <c r="G22" s="10"/>
    </row>
    <row r="23" ht="15.75" customHeight="1">
      <c r="A23" s="32"/>
      <c r="B23" s="33"/>
      <c r="C23" s="34"/>
      <c r="D23" s="33"/>
      <c r="E23" s="32"/>
      <c r="F23" s="32"/>
      <c r="G23" s="10"/>
    </row>
    <row r="24" ht="15.75" customHeight="1">
      <c r="A24" s="32"/>
      <c r="B24" s="33"/>
      <c r="C24" s="34"/>
      <c r="D24" s="33"/>
      <c r="E24" s="32"/>
      <c r="F24" s="32"/>
      <c r="G24" s="10"/>
    </row>
    <row r="25" ht="15.75" customHeight="1">
      <c r="A25" s="32"/>
      <c r="B25" s="33"/>
      <c r="C25" s="34"/>
      <c r="D25" s="33"/>
      <c r="E25" s="32"/>
      <c r="F25" s="32"/>
      <c r="G25" s="10"/>
    </row>
    <row r="26" ht="15.75" customHeight="1">
      <c r="A26" s="32"/>
      <c r="B26" s="33"/>
      <c r="C26" s="34"/>
      <c r="D26" s="33"/>
      <c r="E26" s="32"/>
      <c r="F26" s="32"/>
      <c r="G26" s="10"/>
    </row>
    <row r="27" ht="15.75" customHeight="1">
      <c r="A27" s="32"/>
      <c r="B27" s="33"/>
      <c r="C27" s="34"/>
      <c r="D27" s="33"/>
      <c r="E27" s="32"/>
      <c r="F27" s="32"/>
      <c r="G27" s="10"/>
    </row>
    <row r="28" ht="15.75" customHeight="1">
      <c r="A28" s="32"/>
      <c r="B28" s="33"/>
      <c r="C28" s="34"/>
      <c r="D28" s="33"/>
      <c r="E28" s="32"/>
      <c r="F28" s="32"/>
      <c r="G28" s="10"/>
    </row>
    <row r="29" ht="15.75" customHeight="1">
      <c r="A29" s="32"/>
      <c r="B29" s="33"/>
      <c r="C29" s="34"/>
      <c r="D29" s="33"/>
      <c r="E29" s="32"/>
      <c r="F29" s="32"/>
      <c r="G29" s="10"/>
    </row>
    <row r="30" ht="15.75" customHeight="1">
      <c r="A30" s="32"/>
      <c r="B30" s="33"/>
      <c r="C30" s="34"/>
      <c r="D30" s="33"/>
      <c r="E30" s="32"/>
      <c r="F30" s="32"/>
      <c r="G30" s="10"/>
    </row>
    <row r="31" ht="15.75" customHeight="1">
      <c r="A31" s="32"/>
      <c r="B31" s="33"/>
      <c r="C31" s="34"/>
      <c r="D31" s="33"/>
      <c r="E31" s="32"/>
      <c r="F31" s="32"/>
      <c r="G31" s="10"/>
    </row>
    <row r="32" ht="15.75" customHeight="1">
      <c r="A32" s="32"/>
      <c r="B32" s="33"/>
      <c r="C32" s="34"/>
      <c r="D32" s="33"/>
      <c r="E32" s="32"/>
      <c r="F32" s="32"/>
      <c r="G32" s="10"/>
    </row>
    <row r="33" ht="15.75" customHeight="1">
      <c r="A33" s="32"/>
      <c r="B33" s="33"/>
      <c r="C33" s="34"/>
      <c r="D33" s="33"/>
      <c r="E33" s="32"/>
      <c r="F33" s="32"/>
      <c r="G33" s="10"/>
    </row>
    <row r="34" ht="15.75" customHeight="1">
      <c r="A34" s="32"/>
      <c r="B34" s="33"/>
      <c r="C34" s="34"/>
      <c r="D34" s="33"/>
      <c r="E34" s="32"/>
      <c r="F34" s="32"/>
      <c r="G34" s="10"/>
    </row>
    <row r="35" ht="15.75" customHeight="1">
      <c r="A35" s="32"/>
      <c r="B35" s="33"/>
      <c r="C35" s="34"/>
      <c r="D35" s="33"/>
      <c r="E35" s="32"/>
      <c r="F35" s="32"/>
      <c r="G35" s="10"/>
    </row>
    <row r="36" ht="15.75" customHeight="1">
      <c r="A36" s="32"/>
      <c r="B36" s="33"/>
      <c r="C36" s="34"/>
      <c r="D36" s="33"/>
      <c r="E36" s="32"/>
      <c r="F36" s="32"/>
      <c r="G36" s="10"/>
    </row>
    <row r="37" ht="15.75" customHeight="1">
      <c r="A37" s="32"/>
      <c r="B37" s="33"/>
      <c r="C37" s="34"/>
      <c r="D37" s="33"/>
      <c r="E37" s="32"/>
      <c r="F37" s="32"/>
      <c r="G37" s="10"/>
    </row>
    <row r="38" ht="15.75" customHeight="1">
      <c r="A38" s="32"/>
      <c r="B38" s="33"/>
      <c r="C38" s="34"/>
      <c r="D38" s="33"/>
      <c r="E38" s="32"/>
      <c r="F38" s="32"/>
      <c r="G38" s="10"/>
    </row>
    <row r="39" ht="15.75" customHeight="1">
      <c r="A39" s="32"/>
      <c r="B39" s="33"/>
      <c r="C39" s="34"/>
      <c r="D39" s="33"/>
      <c r="E39" s="32"/>
      <c r="F39" s="32"/>
      <c r="G39" s="10"/>
    </row>
    <row r="40" ht="15.75" customHeight="1">
      <c r="A40" s="32"/>
      <c r="B40" s="33"/>
      <c r="C40" s="34"/>
      <c r="D40" s="33"/>
      <c r="E40" s="32"/>
      <c r="F40" s="32"/>
      <c r="G40" s="10"/>
    </row>
    <row r="41" ht="15.75" customHeight="1">
      <c r="A41" s="32"/>
      <c r="B41" s="33"/>
      <c r="C41" s="34"/>
      <c r="D41" s="33"/>
      <c r="E41" s="32"/>
      <c r="F41" s="32"/>
      <c r="G41" s="10"/>
    </row>
    <row r="42" ht="15.75" customHeight="1">
      <c r="A42" s="32"/>
      <c r="B42" s="33"/>
      <c r="C42" s="34"/>
      <c r="D42" s="33"/>
      <c r="E42" s="32"/>
      <c r="F42" s="32"/>
      <c r="G42" s="10"/>
    </row>
    <row r="43" ht="15.75" customHeight="1">
      <c r="A43" s="32"/>
      <c r="B43" s="33"/>
      <c r="C43" s="34"/>
      <c r="D43" s="33"/>
      <c r="E43" s="32"/>
      <c r="F43" s="32"/>
      <c r="G43" s="10"/>
    </row>
    <row r="44" ht="15.75" customHeight="1">
      <c r="A44" s="32"/>
      <c r="B44" s="33"/>
      <c r="C44" s="34"/>
      <c r="D44" s="33"/>
      <c r="E44" s="32"/>
      <c r="F44" s="32"/>
      <c r="G44" s="10"/>
    </row>
    <row r="45" ht="15.75" customHeight="1">
      <c r="A45" s="32"/>
      <c r="B45" s="33"/>
      <c r="C45" s="34"/>
      <c r="D45" s="33"/>
      <c r="E45" s="32"/>
      <c r="F45" s="32"/>
      <c r="G45" s="10"/>
    </row>
    <row r="46" ht="15.75" customHeight="1">
      <c r="A46" s="32"/>
      <c r="B46" s="33"/>
      <c r="C46" s="34"/>
      <c r="D46" s="33"/>
      <c r="E46" s="32"/>
      <c r="F46" s="32"/>
      <c r="G46" s="10"/>
    </row>
    <row r="47" ht="15.75" customHeight="1">
      <c r="A47" s="32"/>
      <c r="B47" s="33"/>
      <c r="C47" s="34"/>
      <c r="D47" s="33"/>
      <c r="E47" s="32"/>
      <c r="F47" s="32"/>
      <c r="G47" s="10"/>
    </row>
    <row r="48" ht="15.75" customHeight="1">
      <c r="A48" s="32"/>
      <c r="B48" s="33"/>
      <c r="C48" s="34"/>
      <c r="D48" s="33"/>
      <c r="E48" s="32"/>
      <c r="F48" s="32"/>
      <c r="G48" s="10"/>
    </row>
    <row r="49" ht="15.75" customHeight="1">
      <c r="A49" s="32"/>
      <c r="B49" s="33"/>
      <c r="C49" s="34"/>
      <c r="D49" s="33"/>
      <c r="E49" s="32"/>
      <c r="F49" s="32"/>
      <c r="G49" s="10"/>
    </row>
    <row r="50" ht="15.75" customHeight="1">
      <c r="A50" s="32"/>
      <c r="B50" s="33"/>
      <c r="C50" s="34"/>
      <c r="D50" s="33"/>
      <c r="E50" s="32"/>
      <c r="F50" s="32"/>
      <c r="G50" s="10"/>
    </row>
    <row r="51" ht="15.75" customHeight="1">
      <c r="A51" s="32"/>
      <c r="B51" s="33"/>
      <c r="C51" s="34"/>
      <c r="D51" s="33"/>
      <c r="E51" s="32"/>
      <c r="F51" s="32"/>
      <c r="G51" s="10"/>
    </row>
    <row r="52" ht="15.75" customHeight="1">
      <c r="A52" s="32"/>
      <c r="B52" s="33"/>
      <c r="C52" s="34"/>
      <c r="D52" s="33"/>
      <c r="E52" s="32"/>
      <c r="F52" s="32"/>
      <c r="G52" s="10"/>
    </row>
    <row r="53" ht="15.75" customHeight="1">
      <c r="A53" s="32"/>
      <c r="B53" s="33"/>
      <c r="C53" s="34"/>
      <c r="D53" s="33"/>
      <c r="E53" s="32"/>
      <c r="F53" s="32"/>
      <c r="G53" s="10"/>
    </row>
    <row r="54" ht="15.75" customHeight="1">
      <c r="A54" s="32"/>
      <c r="B54" s="33"/>
      <c r="C54" s="34"/>
      <c r="D54" s="33"/>
      <c r="E54" s="32"/>
      <c r="F54" s="32"/>
      <c r="G54" s="10"/>
    </row>
    <row r="55" ht="15.75" customHeight="1">
      <c r="A55" s="32"/>
      <c r="B55" s="33"/>
      <c r="C55" s="34"/>
      <c r="D55" s="33"/>
      <c r="E55" s="32"/>
      <c r="F55" s="32"/>
      <c r="G55" s="10"/>
    </row>
    <row r="56" ht="15.75" customHeight="1">
      <c r="A56" s="32"/>
      <c r="B56" s="33"/>
      <c r="C56" s="34"/>
      <c r="D56" s="33"/>
      <c r="E56" s="32"/>
      <c r="F56" s="32"/>
      <c r="G56" s="10"/>
    </row>
    <row r="57" ht="15.75" customHeight="1">
      <c r="A57" s="32"/>
      <c r="B57" s="33"/>
      <c r="C57" s="34"/>
      <c r="D57" s="33"/>
      <c r="E57" s="32"/>
      <c r="F57" s="32"/>
      <c r="G57" s="10"/>
    </row>
    <row r="58" ht="15.75" customHeight="1">
      <c r="A58" s="32"/>
      <c r="B58" s="33"/>
      <c r="C58" s="34"/>
      <c r="D58" s="33"/>
      <c r="E58" s="32"/>
      <c r="F58" s="32"/>
      <c r="G58" s="10"/>
    </row>
    <row r="59" ht="15.75" customHeight="1">
      <c r="A59" s="32"/>
      <c r="B59" s="33"/>
      <c r="C59" s="34"/>
      <c r="D59" s="33"/>
      <c r="E59" s="32"/>
      <c r="F59" s="32"/>
      <c r="G59" s="10"/>
    </row>
    <row r="60" ht="15.75" customHeight="1">
      <c r="A60" s="32"/>
      <c r="B60" s="33"/>
      <c r="C60" s="34"/>
      <c r="D60" s="33"/>
      <c r="E60" s="32"/>
      <c r="F60" s="32"/>
      <c r="G60" s="10"/>
    </row>
    <row r="61" ht="15.75" customHeight="1">
      <c r="A61" s="32"/>
      <c r="B61" s="33"/>
      <c r="C61" s="34"/>
      <c r="D61" s="33"/>
      <c r="E61" s="32"/>
      <c r="F61" s="32"/>
      <c r="G61" s="10"/>
    </row>
    <row r="62" ht="15.75" customHeight="1">
      <c r="A62" s="32"/>
      <c r="B62" s="33"/>
      <c r="C62" s="34"/>
      <c r="D62" s="33"/>
      <c r="E62" s="32"/>
      <c r="F62" s="32"/>
      <c r="G62" s="10"/>
    </row>
    <row r="63" ht="15.75" customHeight="1">
      <c r="A63" s="32"/>
      <c r="B63" s="33"/>
      <c r="C63" s="34"/>
      <c r="D63" s="33"/>
      <c r="E63" s="32"/>
      <c r="F63" s="32"/>
      <c r="G63" s="10"/>
    </row>
    <row r="64" ht="15.75" customHeight="1">
      <c r="A64" s="32"/>
      <c r="B64" s="33"/>
      <c r="C64" s="34"/>
      <c r="D64" s="33"/>
      <c r="E64" s="32"/>
      <c r="F64" s="32"/>
      <c r="G64" s="10"/>
    </row>
    <row r="65" ht="15.75" customHeight="1">
      <c r="A65" s="32"/>
      <c r="B65" s="33"/>
      <c r="C65" s="34"/>
      <c r="D65" s="33"/>
      <c r="E65" s="32"/>
      <c r="F65" s="32"/>
      <c r="G65" s="10"/>
    </row>
    <row r="66" ht="15.75" customHeight="1">
      <c r="A66" s="32"/>
      <c r="B66" s="33"/>
      <c r="C66" s="34"/>
      <c r="D66" s="33"/>
      <c r="E66" s="32"/>
      <c r="F66" s="32"/>
      <c r="G66" s="10"/>
    </row>
    <row r="67" ht="15.75" customHeight="1">
      <c r="A67" s="32"/>
      <c r="B67" s="33"/>
      <c r="C67" s="34"/>
      <c r="D67" s="33"/>
      <c r="E67" s="32"/>
      <c r="F67" s="32"/>
      <c r="G67" s="10"/>
    </row>
    <row r="68" ht="15.75" customHeight="1">
      <c r="A68" s="32"/>
      <c r="B68" s="33"/>
      <c r="C68" s="34"/>
      <c r="D68" s="33"/>
      <c r="E68" s="32"/>
      <c r="F68" s="32"/>
      <c r="G68" s="10"/>
    </row>
    <row r="69" ht="15.75" customHeight="1">
      <c r="A69" s="32"/>
      <c r="B69" s="33"/>
      <c r="C69" s="34"/>
      <c r="D69" s="33"/>
      <c r="E69" s="32"/>
      <c r="F69" s="32"/>
      <c r="G69" s="10"/>
    </row>
    <row r="70" ht="15.75" customHeight="1">
      <c r="A70" s="32"/>
      <c r="B70" s="33"/>
      <c r="C70" s="34"/>
      <c r="D70" s="33"/>
      <c r="E70" s="32"/>
      <c r="F70" s="32"/>
      <c r="G70" s="10"/>
    </row>
    <row r="71" ht="15.75" customHeight="1">
      <c r="A71" s="32"/>
      <c r="B71" s="33"/>
      <c r="C71" s="34"/>
      <c r="D71" s="33"/>
      <c r="E71" s="32"/>
      <c r="F71" s="32"/>
      <c r="G71" s="10"/>
    </row>
    <row r="72" ht="15.75" customHeight="1">
      <c r="A72" s="32"/>
      <c r="B72" s="33"/>
      <c r="C72" s="34"/>
      <c r="D72" s="33"/>
      <c r="E72" s="32"/>
      <c r="F72" s="32"/>
      <c r="G72" s="10"/>
    </row>
    <row r="73" ht="15.75" customHeight="1">
      <c r="A73" s="32"/>
      <c r="B73" s="33"/>
      <c r="C73" s="34"/>
      <c r="D73" s="33"/>
      <c r="E73" s="32"/>
      <c r="F73" s="32"/>
      <c r="G73" s="10"/>
    </row>
    <row r="74" ht="15.75" customHeight="1">
      <c r="A74" s="32"/>
      <c r="B74" s="33"/>
      <c r="C74" s="34"/>
      <c r="D74" s="33"/>
      <c r="E74" s="32"/>
      <c r="F74" s="32"/>
      <c r="G74" s="10"/>
    </row>
    <row r="75" ht="15.75" customHeight="1">
      <c r="A75" s="32"/>
      <c r="B75" s="33"/>
      <c r="C75" s="34"/>
      <c r="D75" s="33"/>
      <c r="E75" s="32"/>
      <c r="F75" s="32"/>
      <c r="G75" s="10"/>
    </row>
    <row r="76" ht="15.75" customHeight="1">
      <c r="A76" s="32"/>
      <c r="B76" s="33"/>
      <c r="C76" s="34"/>
      <c r="D76" s="33"/>
      <c r="E76" s="32"/>
      <c r="F76" s="32"/>
      <c r="G76" s="10"/>
    </row>
    <row r="77" ht="15.75" customHeight="1">
      <c r="A77" s="32"/>
      <c r="B77" s="33"/>
      <c r="C77" s="34"/>
      <c r="D77" s="33"/>
      <c r="E77" s="32"/>
      <c r="F77" s="32"/>
      <c r="G77" s="10"/>
    </row>
    <row r="78" ht="15.75" customHeight="1">
      <c r="A78" s="32"/>
      <c r="B78" s="33"/>
      <c r="C78" s="34"/>
      <c r="D78" s="33"/>
      <c r="E78" s="32"/>
      <c r="F78" s="32"/>
      <c r="G78" s="10"/>
    </row>
    <row r="79" ht="15.75" customHeight="1">
      <c r="A79" s="32"/>
      <c r="B79" s="33"/>
      <c r="C79" s="34"/>
      <c r="D79" s="33"/>
      <c r="E79" s="32"/>
      <c r="F79" s="32"/>
      <c r="G79" s="10"/>
    </row>
    <row r="80" ht="15.75" customHeight="1">
      <c r="A80" s="32"/>
      <c r="B80" s="33"/>
      <c r="C80" s="34"/>
      <c r="D80" s="33"/>
      <c r="E80" s="32"/>
      <c r="F80" s="32"/>
      <c r="G80" s="10"/>
    </row>
    <row r="81" ht="15.75" customHeight="1">
      <c r="A81" s="32"/>
      <c r="B81" s="33"/>
      <c r="C81" s="34"/>
      <c r="D81" s="33"/>
      <c r="E81" s="32"/>
      <c r="F81" s="32"/>
      <c r="G81" s="10"/>
    </row>
    <row r="82" ht="15.75" customHeight="1">
      <c r="A82" s="32"/>
      <c r="B82" s="33"/>
      <c r="C82" s="34"/>
      <c r="D82" s="33"/>
      <c r="E82" s="32"/>
      <c r="F82" s="32"/>
      <c r="G82" s="10"/>
    </row>
    <row r="83" ht="15.75" customHeight="1">
      <c r="A83" s="32"/>
      <c r="B83" s="33"/>
      <c r="C83" s="34"/>
      <c r="D83" s="33"/>
      <c r="E83" s="32"/>
      <c r="F83" s="32"/>
      <c r="G83" s="10"/>
    </row>
    <row r="84" ht="15.75" customHeight="1">
      <c r="A84" s="32"/>
      <c r="B84" s="33"/>
      <c r="C84" s="34"/>
      <c r="D84" s="33"/>
      <c r="E84" s="32"/>
      <c r="F84" s="32"/>
      <c r="G84" s="10"/>
    </row>
    <row r="85" ht="15.75" customHeight="1">
      <c r="A85" s="32"/>
      <c r="B85" s="33"/>
      <c r="C85" s="34"/>
      <c r="D85" s="33"/>
      <c r="E85" s="32"/>
      <c r="F85" s="32"/>
      <c r="G85" s="10"/>
    </row>
    <row r="86" ht="15.75" customHeight="1">
      <c r="A86" s="32"/>
      <c r="B86" s="33"/>
      <c r="C86" s="34"/>
      <c r="D86" s="33"/>
      <c r="E86" s="32"/>
      <c r="F86" s="32"/>
      <c r="G86" s="10"/>
    </row>
    <row r="87" ht="15.75" customHeight="1">
      <c r="A87" s="32"/>
      <c r="B87" s="33"/>
      <c r="C87" s="34"/>
      <c r="D87" s="33"/>
      <c r="E87" s="32"/>
      <c r="F87" s="32"/>
      <c r="G87" s="10"/>
    </row>
    <row r="88" ht="15.75" customHeight="1">
      <c r="A88" s="32"/>
      <c r="B88" s="33"/>
      <c r="C88" s="34"/>
      <c r="D88" s="33"/>
      <c r="E88" s="32"/>
      <c r="F88" s="32"/>
      <c r="G88" s="10"/>
    </row>
    <row r="89" ht="15.75" customHeight="1">
      <c r="A89" s="32"/>
      <c r="B89" s="33"/>
      <c r="C89" s="34"/>
      <c r="D89" s="33"/>
      <c r="E89" s="32"/>
      <c r="F89" s="32"/>
      <c r="G89" s="10"/>
    </row>
    <row r="90" ht="15.75" customHeight="1">
      <c r="A90" s="32"/>
      <c r="B90" s="33"/>
      <c r="C90" s="34"/>
      <c r="D90" s="33"/>
      <c r="E90" s="32"/>
      <c r="F90" s="32"/>
      <c r="G90" s="10"/>
    </row>
    <row r="91" ht="15.75" customHeight="1">
      <c r="A91" s="32"/>
      <c r="B91" s="33"/>
      <c r="C91" s="34"/>
      <c r="D91" s="33"/>
      <c r="E91" s="32"/>
      <c r="F91" s="32"/>
      <c r="G91" s="10"/>
    </row>
    <row r="92" ht="15.75" customHeight="1">
      <c r="A92" s="32"/>
      <c r="B92" s="33"/>
      <c r="C92" s="34"/>
      <c r="D92" s="33"/>
      <c r="E92" s="32"/>
      <c r="F92" s="32"/>
      <c r="G92" s="10"/>
    </row>
    <row r="93" ht="15.75" customHeight="1">
      <c r="A93" s="32"/>
      <c r="B93" s="33"/>
      <c r="C93" s="34"/>
      <c r="D93" s="33"/>
      <c r="E93" s="32"/>
      <c r="F93" s="32"/>
      <c r="G93" s="10"/>
    </row>
    <row r="94" ht="15.75" customHeight="1">
      <c r="A94" s="32"/>
      <c r="B94" s="33"/>
      <c r="C94" s="34"/>
      <c r="D94" s="33"/>
      <c r="E94" s="32"/>
      <c r="F94" s="32"/>
      <c r="G94" s="10"/>
    </row>
    <row r="95" ht="15.75" customHeight="1">
      <c r="A95" s="32"/>
      <c r="B95" s="33"/>
      <c r="C95" s="34"/>
      <c r="D95" s="33"/>
      <c r="E95" s="32"/>
      <c r="F95" s="32"/>
      <c r="G95" s="10"/>
    </row>
    <row r="96" ht="15.75" customHeight="1">
      <c r="A96" s="32"/>
      <c r="B96" s="33"/>
      <c r="C96" s="34"/>
      <c r="D96" s="33"/>
      <c r="E96" s="32"/>
      <c r="F96" s="32"/>
      <c r="G96" s="10"/>
    </row>
    <row r="97" ht="15.75" customHeight="1">
      <c r="A97" s="32"/>
      <c r="B97" s="33"/>
      <c r="C97" s="34"/>
      <c r="D97" s="33"/>
      <c r="E97" s="32"/>
      <c r="F97" s="32"/>
      <c r="G97" s="10"/>
    </row>
    <row r="98" ht="15.75" customHeight="1">
      <c r="A98" s="32"/>
      <c r="B98" s="33"/>
      <c r="C98" s="34"/>
      <c r="D98" s="33"/>
      <c r="E98" s="32"/>
      <c r="F98" s="32"/>
      <c r="G98" s="10"/>
    </row>
    <row r="99" ht="15.75" customHeight="1">
      <c r="A99" s="32"/>
      <c r="B99" s="33"/>
      <c r="C99" s="34"/>
      <c r="D99" s="33"/>
      <c r="E99" s="32"/>
      <c r="F99" s="32"/>
      <c r="G99" s="10"/>
    </row>
    <row r="100" ht="15.75" customHeight="1">
      <c r="A100" s="32"/>
      <c r="B100" s="33"/>
      <c r="C100" s="34"/>
      <c r="D100" s="33"/>
      <c r="E100" s="32"/>
      <c r="F100" s="32"/>
      <c r="G100" s="10"/>
    </row>
    <row r="101" ht="15.75" customHeight="1">
      <c r="A101" s="32"/>
      <c r="B101" s="33"/>
      <c r="C101" s="34"/>
      <c r="D101" s="33"/>
      <c r="E101" s="32"/>
      <c r="F101" s="32"/>
      <c r="G101" s="10"/>
    </row>
    <row r="102" ht="15.75" customHeight="1">
      <c r="A102" s="32"/>
      <c r="B102" s="33"/>
      <c r="C102" s="34"/>
      <c r="D102" s="33"/>
      <c r="E102" s="32"/>
      <c r="F102" s="32"/>
      <c r="G102" s="10"/>
    </row>
    <row r="103" ht="15.75" customHeight="1">
      <c r="A103" s="32"/>
      <c r="B103" s="33"/>
      <c r="C103" s="34"/>
      <c r="D103" s="33"/>
      <c r="E103" s="32"/>
      <c r="F103" s="32"/>
      <c r="G103" s="10"/>
    </row>
    <row r="104" ht="15.75" customHeight="1">
      <c r="A104" s="32"/>
      <c r="B104" s="33"/>
      <c r="C104" s="34"/>
      <c r="D104" s="33"/>
      <c r="E104" s="32"/>
      <c r="F104" s="32"/>
      <c r="G104" s="10"/>
    </row>
    <row r="105" ht="15.75" customHeight="1">
      <c r="A105" s="32"/>
      <c r="B105" s="33"/>
      <c r="C105" s="34"/>
      <c r="D105" s="33"/>
      <c r="E105" s="32"/>
      <c r="F105" s="32"/>
      <c r="G105" s="10"/>
    </row>
    <row r="106" ht="15.75" customHeight="1">
      <c r="A106" s="32"/>
      <c r="B106" s="33"/>
      <c r="C106" s="34"/>
      <c r="D106" s="33"/>
      <c r="E106" s="32"/>
      <c r="F106" s="32"/>
      <c r="G106" s="10"/>
    </row>
    <row r="107" ht="15.75" customHeight="1">
      <c r="A107" s="32"/>
      <c r="B107" s="33"/>
      <c r="C107" s="34"/>
      <c r="D107" s="33"/>
      <c r="E107" s="32"/>
      <c r="F107" s="32"/>
      <c r="G107" s="10"/>
    </row>
    <row r="108" ht="15.75" customHeight="1">
      <c r="A108" s="32"/>
      <c r="B108" s="33"/>
      <c r="C108" s="34"/>
      <c r="D108" s="33"/>
      <c r="E108" s="32"/>
      <c r="F108" s="32"/>
      <c r="G108" s="10"/>
    </row>
    <row r="109" ht="15.75" customHeight="1">
      <c r="A109" s="32"/>
      <c r="B109" s="33"/>
      <c r="C109" s="34"/>
      <c r="D109" s="33"/>
      <c r="E109" s="32"/>
      <c r="F109" s="32"/>
      <c r="G109" s="10"/>
    </row>
    <row r="110" ht="15.75" customHeight="1">
      <c r="A110" s="32"/>
      <c r="B110" s="33"/>
      <c r="C110" s="34"/>
      <c r="D110" s="33"/>
      <c r="E110" s="32"/>
      <c r="F110" s="32"/>
      <c r="G110" s="10"/>
    </row>
    <row r="111" ht="15.75" customHeight="1">
      <c r="A111" s="32"/>
      <c r="B111" s="33"/>
      <c r="C111" s="34"/>
      <c r="D111" s="33"/>
      <c r="E111" s="32"/>
      <c r="F111" s="32"/>
      <c r="G111" s="10"/>
    </row>
    <row r="112" ht="15.75" customHeight="1">
      <c r="A112" s="32"/>
      <c r="B112" s="33"/>
      <c r="C112" s="34"/>
      <c r="D112" s="33"/>
      <c r="E112" s="32"/>
      <c r="F112" s="32"/>
      <c r="G112" s="10"/>
    </row>
    <row r="113" ht="15.75" customHeight="1">
      <c r="A113" s="32"/>
      <c r="B113" s="33"/>
      <c r="C113" s="34"/>
      <c r="D113" s="33"/>
      <c r="E113" s="32"/>
      <c r="F113" s="32"/>
      <c r="G113" s="10"/>
    </row>
    <row r="114" ht="15.75" customHeight="1">
      <c r="A114" s="32"/>
      <c r="B114" s="33"/>
      <c r="C114" s="34"/>
      <c r="D114" s="33"/>
      <c r="E114" s="32"/>
      <c r="F114" s="32"/>
      <c r="G114" s="10"/>
    </row>
    <row r="115" ht="15.75" customHeight="1">
      <c r="A115" s="32"/>
      <c r="B115" s="33"/>
      <c r="C115" s="34"/>
      <c r="D115" s="33"/>
      <c r="E115" s="32"/>
      <c r="F115" s="32"/>
      <c r="G115" s="10"/>
    </row>
    <row r="116" ht="15.75" customHeight="1">
      <c r="A116" s="32"/>
      <c r="B116" s="33"/>
      <c r="C116" s="34"/>
      <c r="D116" s="33"/>
      <c r="E116" s="32"/>
      <c r="F116" s="32"/>
      <c r="G116" s="10"/>
    </row>
    <row r="117" ht="15.75" customHeight="1">
      <c r="A117" s="32"/>
      <c r="B117" s="33"/>
      <c r="C117" s="34"/>
      <c r="D117" s="33"/>
      <c r="E117" s="32"/>
      <c r="F117" s="32"/>
      <c r="G117" s="10"/>
    </row>
    <row r="118" ht="15.75" customHeight="1">
      <c r="A118" s="32"/>
      <c r="B118" s="33"/>
      <c r="C118" s="34"/>
      <c r="D118" s="33"/>
      <c r="E118" s="32"/>
      <c r="F118" s="32"/>
      <c r="G118" s="10"/>
    </row>
    <row r="119" ht="15.75" customHeight="1">
      <c r="A119" s="32"/>
      <c r="B119" s="33"/>
      <c r="C119" s="34"/>
      <c r="D119" s="33"/>
      <c r="E119" s="32"/>
      <c r="F119" s="32"/>
      <c r="G119" s="10"/>
    </row>
    <row r="120" ht="15.75" customHeight="1">
      <c r="A120" s="32"/>
      <c r="B120" s="33"/>
      <c r="C120" s="34"/>
      <c r="D120" s="33"/>
      <c r="E120" s="32"/>
      <c r="F120" s="32"/>
      <c r="G120" s="10"/>
    </row>
    <row r="121" ht="15.75" customHeight="1">
      <c r="A121" s="32"/>
      <c r="B121" s="33"/>
      <c r="C121" s="34"/>
      <c r="D121" s="33"/>
      <c r="E121" s="32"/>
      <c r="F121" s="32"/>
      <c r="G121" s="10"/>
    </row>
    <row r="122" ht="15.75" customHeight="1">
      <c r="A122" s="32"/>
      <c r="B122" s="33"/>
      <c r="C122" s="34"/>
      <c r="D122" s="33"/>
      <c r="E122" s="32"/>
      <c r="F122" s="32"/>
      <c r="G122" s="10"/>
    </row>
    <row r="123" ht="15.75" customHeight="1">
      <c r="A123" s="32"/>
      <c r="B123" s="33"/>
      <c r="C123" s="34"/>
      <c r="D123" s="33"/>
      <c r="E123" s="32"/>
      <c r="F123" s="32"/>
      <c r="G123" s="10"/>
    </row>
    <row r="124" ht="15.75" customHeight="1">
      <c r="A124" s="32"/>
      <c r="B124" s="33"/>
      <c r="C124" s="34"/>
      <c r="D124" s="33"/>
      <c r="E124" s="32"/>
      <c r="F124" s="32"/>
      <c r="G124" s="10"/>
    </row>
    <row r="125" ht="15.75" customHeight="1">
      <c r="A125" s="32"/>
      <c r="B125" s="33"/>
      <c r="C125" s="34"/>
      <c r="D125" s="33"/>
      <c r="E125" s="32"/>
      <c r="F125" s="32"/>
      <c r="G125" s="10"/>
    </row>
    <row r="126" ht="15.75" customHeight="1">
      <c r="A126" s="32"/>
      <c r="B126" s="33"/>
      <c r="C126" s="34"/>
      <c r="D126" s="33"/>
      <c r="E126" s="32"/>
      <c r="F126" s="32"/>
      <c r="G126" s="10"/>
    </row>
    <row r="127" ht="15.75" customHeight="1">
      <c r="A127" s="32"/>
      <c r="B127" s="33"/>
      <c r="C127" s="34"/>
      <c r="D127" s="33"/>
      <c r="E127" s="32"/>
      <c r="F127" s="32"/>
      <c r="G127" s="10"/>
    </row>
    <row r="128" ht="15.75" customHeight="1">
      <c r="A128" s="32"/>
      <c r="B128" s="33"/>
      <c r="C128" s="34"/>
      <c r="D128" s="33"/>
      <c r="E128" s="32"/>
      <c r="F128" s="32"/>
      <c r="G128" s="10"/>
    </row>
    <row r="129" ht="15.75" customHeight="1">
      <c r="A129" s="32"/>
      <c r="B129" s="33"/>
      <c r="C129" s="34"/>
      <c r="D129" s="33"/>
      <c r="E129" s="32"/>
      <c r="F129" s="32"/>
      <c r="G129" s="10"/>
    </row>
    <row r="130" ht="15.75" customHeight="1">
      <c r="A130" s="32"/>
      <c r="B130" s="33"/>
      <c r="C130" s="34"/>
      <c r="D130" s="33"/>
      <c r="E130" s="32"/>
      <c r="F130" s="32"/>
      <c r="G130" s="10"/>
    </row>
    <row r="131" ht="15.75" customHeight="1">
      <c r="A131" s="32"/>
      <c r="B131" s="33"/>
      <c r="C131" s="34"/>
      <c r="D131" s="33"/>
      <c r="E131" s="32"/>
      <c r="F131" s="32"/>
      <c r="G131" s="10"/>
    </row>
    <row r="132" ht="15.75" customHeight="1">
      <c r="A132" s="32"/>
      <c r="B132" s="33"/>
      <c r="C132" s="34"/>
      <c r="D132" s="33"/>
      <c r="E132" s="32"/>
      <c r="F132" s="32"/>
      <c r="G132" s="10"/>
    </row>
    <row r="133" ht="15.75" customHeight="1">
      <c r="A133" s="32"/>
      <c r="B133" s="33"/>
      <c r="C133" s="34"/>
      <c r="D133" s="33"/>
      <c r="E133" s="32"/>
      <c r="F133" s="32"/>
      <c r="G133" s="10"/>
    </row>
    <row r="134" ht="15.75" customHeight="1">
      <c r="A134" s="32"/>
      <c r="B134" s="33"/>
      <c r="C134" s="34"/>
      <c r="D134" s="33"/>
      <c r="E134" s="32"/>
      <c r="F134" s="32"/>
      <c r="G134" s="10"/>
    </row>
    <row r="135" ht="15.75" customHeight="1">
      <c r="A135" s="32"/>
      <c r="B135" s="33"/>
      <c r="C135" s="34"/>
      <c r="D135" s="33"/>
      <c r="E135" s="32"/>
      <c r="F135" s="32"/>
      <c r="G135" s="10"/>
    </row>
    <row r="136" ht="15.75" customHeight="1">
      <c r="A136" s="32"/>
      <c r="B136" s="33"/>
      <c r="C136" s="34"/>
      <c r="D136" s="33"/>
      <c r="E136" s="32"/>
      <c r="F136" s="32"/>
      <c r="G136" s="10"/>
    </row>
    <row r="137" ht="15.75" customHeight="1">
      <c r="A137" s="32"/>
      <c r="B137" s="33"/>
      <c r="C137" s="34"/>
      <c r="D137" s="33"/>
      <c r="E137" s="32"/>
      <c r="F137" s="32"/>
      <c r="G137" s="10"/>
    </row>
    <row r="138" ht="15.75" customHeight="1">
      <c r="A138" s="32"/>
      <c r="B138" s="33"/>
      <c r="C138" s="34"/>
      <c r="D138" s="33"/>
      <c r="E138" s="32"/>
      <c r="F138" s="32"/>
      <c r="G138" s="10"/>
    </row>
    <row r="139" ht="15.75" customHeight="1">
      <c r="A139" s="32"/>
      <c r="B139" s="33"/>
      <c r="C139" s="34"/>
      <c r="D139" s="33"/>
      <c r="E139" s="32"/>
      <c r="F139" s="32"/>
      <c r="G139" s="10"/>
    </row>
    <row r="140" ht="15.75" customHeight="1">
      <c r="A140" s="32"/>
      <c r="B140" s="33"/>
      <c r="C140" s="34"/>
      <c r="D140" s="33"/>
      <c r="E140" s="32"/>
      <c r="F140" s="32"/>
      <c r="G140" s="10"/>
    </row>
    <row r="141" ht="15.75" customHeight="1">
      <c r="A141" s="32"/>
      <c r="B141" s="33"/>
      <c r="C141" s="34"/>
      <c r="D141" s="33"/>
      <c r="E141" s="32"/>
      <c r="F141" s="32"/>
      <c r="G141" s="10"/>
    </row>
    <row r="142" ht="15.75" customHeight="1">
      <c r="A142" s="32"/>
      <c r="B142" s="33"/>
      <c r="C142" s="34"/>
      <c r="D142" s="33"/>
      <c r="E142" s="32"/>
      <c r="F142" s="32"/>
      <c r="G142" s="10"/>
    </row>
    <row r="143" ht="15.75" customHeight="1">
      <c r="A143" s="32"/>
      <c r="B143" s="33"/>
      <c r="C143" s="34"/>
      <c r="D143" s="33"/>
      <c r="E143" s="32"/>
      <c r="F143" s="32"/>
      <c r="G143" s="10"/>
    </row>
    <row r="144" ht="15.75" customHeight="1">
      <c r="A144" s="32"/>
      <c r="B144" s="33"/>
      <c r="C144" s="34"/>
      <c r="D144" s="33"/>
      <c r="E144" s="32"/>
      <c r="F144" s="32"/>
      <c r="G144" s="10"/>
    </row>
    <row r="145" ht="15.75" customHeight="1">
      <c r="A145" s="32"/>
      <c r="B145" s="33"/>
      <c r="C145" s="34"/>
      <c r="D145" s="33"/>
      <c r="E145" s="32"/>
      <c r="F145" s="32"/>
      <c r="G145" s="10"/>
    </row>
    <row r="146" ht="15.75" customHeight="1">
      <c r="A146" s="32"/>
      <c r="B146" s="33"/>
      <c r="C146" s="34"/>
      <c r="D146" s="33"/>
      <c r="E146" s="32"/>
      <c r="F146" s="32"/>
      <c r="G146" s="10"/>
    </row>
    <row r="147" ht="15.75" customHeight="1">
      <c r="A147" s="32"/>
      <c r="B147" s="33"/>
      <c r="C147" s="34"/>
      <c r="D147" s="33"/>
      <c r="E147" s="32"/>
      <c r="F147" s="32"/>
      <c r="G147" s="10"/>
    </row>
    <row r="148" ht="15.75" customHeight="1">
      <c r="A148" s="32"/>
      <c r="B148" s="33"/>
      <c r="C148" s="34"/>
      <c r="D148" s="33"/>
      <c r="E148" s="32"/>
      <c r="F148" s="32"/>
      <c r="G148" s="10"/>
    </row>
    <row r="149" ht="15.75" customHeight="1">
      <c r="A149" s="32"/>
      <c r="B149" s="33"/>
      <c r="C149" s="34"/>
      <c r="D149" s="33"/>
      <c r="E149" s="32"/>
      <c r="F149" s="32"/>
      <c r="G149" s="10"/>
    </row>
    <row r="150" ht="15.75" customHeight="1">
      <c r="A150" s="32"/>
      <c r="B150" s="33"/>
      <c r="C150" s="34"/>
      <c r="D150" s="33"/>
      <c r="E150" s="32"/>
      <c r="F150" s="32"/>
      <c r="G150" s="10"/>
    </row>
    <row r="151" ht="15.75" customHeight="1">
      <c r="A151" s="32"/>
      <c r="B151" s="33"/>
      <c r="C151" s="34"/>
      <c r="D151" s="33"/>
      <c r="E151" s="32"/>
      <c r="F151" s="32"/>
      <c r="G151" s="10"/>
    </row>
    <row r="152" ht="15.75" customHeight="1">
      <c r="A152" s="32"/>
      <c r="B152" s="33"/>
      <c r="C152" s="34"/>
      <c r="D152" s="33"/>
      <c r="E152" s="32"/>
      <c r="F152" s="32"/>
      <c r="G152" s="10"/>
    </row>
    <row r="153" ht="15.75" customHeight="1">
      <c r="A153" s="32"/>
      <c r="B153" s="33"/>
      <c r="C153" s="34"/>
      <c r="D153" s="33"/>
      <c r="E153" s="32"/>
      <c r="F153" s="32"/>
      <c r="G153" s="10"/>
    </row>
    <row r="154" ht="15.75" customHeight="1">
      <c r="A154" s="32"/>
      <c r="B154" s="33"/>
      <c r="C154" s="34"/>
      <c r="D154" s="33"/>
      <c r="E154" s="32"/>
      <c r="F154" s="32"/>
      <c r="G154" s="10"/>
    </row>
    <row r="155" ht="15.75" customHeight="1">
      <c r="A155" s="32"/>
      <c r="B155" s="33"/>
      <c r="C155" s="34"/>
      <c r="D155" s="33"/>
      <c r="E155" s="32"/>
      <c r="F155" s="32"/>
      <c r="G155" s="10"/>
    </row>
    <row r="156" ht="15.75" customHeight="1">
      <c r="A156" s="32"/>
      <c r="B156" s="33"/>
      <c r="C156" s="34"/>
      <c r="D156" s="33"/>
      <c r="E156" s="32"/>
      <c r="F156" s="32"/>
      <c r="G156" s="10"/>
    </row>
    <row r="157" ht="15.75" customHeight="1">
      <c r="A157" s="32"/>
      <c r="B157" s="33"/>
      <c r="C157" s="34"/>
      <c r="D157" s="33"/>
      <c r="E157" s="32"/>
      <c r="F157" s="32"/>
      <c r="G157" s="10"/>
    </row>
    <row r="158" ht="15.75" customHeight="1">
      <c r="A158" s="32"/>
      <c r="B158" s="33"/>
      <c r="C158" s="34"/>
      <c r="D158" s="33"/>
      <c r="E158" s="32"/>
      <c r="F158" s="32"/>
      <c r="G158" s="10"/>
    </row>
    <row r="159" ht="15.75" customHeight="1">
      <c r="A159" s="32"/>
      <c r="B159" s="33"/>
      <c r="C159" s="34"/>
      <c r="D159" s="33"/>
      <c r="E159" s="32"/>
      <c r="F159" s="32"/>
      <c r="G159" s="10"/>
    </row>
    <row r="160" ht="15.75" customHeight="1">
      <c r="A160" s="32"/>
      <c r="B160" s="33"/>
      <c r="C160" s="34"/>
      <c r="D160" s="33"/>
      <c r="E160" s="32"/>
      <c r="F160" s="32"/>
      <c r="G160" s="10"/>
    </row>
    <row r="161" ht="15.75" customHeight="1">
      <c r="A161" s="32"/>
      <c r="B161" s="33"/>
      <c r="C161" s="34"/>
      <c r="D161" s="33"/>
      <c r="E161" s="32"/>
      <c r="F161" s="32"/>
      <c r="G161" s="10"/>
    </row>
    <row r="162" ht="15.75" customHeight="1">
      <c r="A162" s="32"/>
      <c r="B162" s="33"/>
      <c r="C162" s="34"/>
      <c r="D162" s="33"/>
      <c r="E162" s="32"/>
      <c r="F162" s="32"/>
      <c r="G162" s="10"/>
    </row>
    <row r="163" ht="15.75" customHeight="1">
      <c r="A163" s="32"/>
      <c r="B163" s="33"/>
      <c r="C163" s="34"/>
      <c r="D163" s="33"/>
      <c r="E163" s="32"/>
      <c r="F163" s="32"/>
      <c r="G163" s="10"/>
    </row>
    <row r="164" ht="15.75" customHeight="1">
      <c r="A164" s="32"/>
      <c r="B164" s="33"/>
      <c r="C164" s="34"/>
      <c r="D164" s="33"/>
      <c r="E164" s="32"/>
      <c r="F164" s="32"/>
      <c r="G164" s="10"/>
    </row>
    <row r="165" ht="15.75" customHeight="1">
      <c r="A165" s="32"/>
      <c r="B165" s="33"/>
      <c r="C165" s="34"/>
      <c r="D165" s="33"/>
      <c r="E165" s="32"/>
      <c r="F165" s="32"/>
      <c r="G165" s="10"/>
    </row>
    <row r="166" ht="15.75" customHeight="1">
      <c r="A166" s="32"/>
      <c r="B166" s="33"/>
      <c r="C166" s="34"/>
      <c r="D166" s="33"/>
      <c r="E166" s="32"/>
      <c r="F166" s="32"/>
      <c r="G166" s="10"/>
    </row>
    <row r="167" ht="15.75" customHeight="1">
      <c r="A167" s="32"/>
      <c r="B167" s="33"/>
      <c r="C167" s="34"/>
      <c r="D167" s="33"/>
      <c r="E167" s="32"/>
      <c r="F167" s="32"/>
      <c r="G167" s="10"/>
    </row>
    <row r="168" ht="15.75" customHeight="1">
      <c r="A168" s="32"/>
      <c r="B168" s="33"/>
      <c r="C168" s="34"/>
      <c r="D168" s="33"/>
      <c r="E168" s="32"/>
      <c r="F168" s="32"/>
      <c r="G168" s="10"/>
    </row>
    <row r="169" ht="15.75" customHeight="1">
      <c r="A169" s="32"/>
      <c r="B169" s="33"/>
      <c r="C169" s="34"/>
      <c r="D169" s="33"/>
      <c r="E169" s="32"/>
      <c r="F169" s="32"/>
      <c r="G169" s="10"/>
    </row>
    <row r="170" ht="15.75" customHeight="1">
      <c r="A170" s="32"/>
      <c r="B170" s="33"/>
      <c r="C170" s="34"/>
      <c r="D170" s="33"/>
      <c r="E170" s="32"/>
      <c r="F170" s="32"/>
      <c r="G170" s="10"/>
    </row>
    <row r="171" ht="15.75" customHeight="1">
      <c r="A171" s="32"/>
      <c r="B171" s="33"/>
      <c r="C171" s="34"/>
      <c r="D171" s="33"/>
      <c r="E171" s="32"/>
      <c r="F171" s="32"/>
      <c r="G171" s="10"/>
    </row>
    <row r="172" ht="15.75" customHeight="1">
      <c r="A172" s="32"/>
      <c r="B172" s="33"/>
      <c r="C172" s="34"/>
      <c r="D172" s="33"/>
      <c r="E172" s="32"/>
      <c r="F172" s="32"/>
      <c r="G172" s="10"/>
    </row>
    <row r="173" ht="15.75" customHeight="1">
      <c r="A173" s="32"/>
      <c r="B173" s="33"/>
      <c r="C173" s="34"/>
      <c r="D173" s="33"/>
      <c r="E173" s="32"/>
      <c r="F173" s="32"/>
      <c r="G173" s="10"/>
    </row>
    <row r="174" ht="15.75" customHeight="1">
      <c r="A174" s="32"/>
      <c r="B174" s="33"/>
      <c r="C174" s="34"/>
      <c r="D174" s="33"/>
      <c r="E174" s="32"/>
      <c r="F174" s="32"/>
      <c r="G174" s="10"/>
    </row>
    <row r="175" ht="15.75" customHeight="1">
      <c r="A175" s="32"/>
      <c r="B175" s="33"/>
      <c r="C175" s="34"/>
      <c r="D175" s="33"/>
      <c r="E175" s="32"/>
      <c r="F175" s="32"/>
      <c r="G175" s="10"/>
    </row>
    <row r="176" ht="15.75" customHeight="1">
      <c r="A176" s="32"/>
      <c r="B176" s="33"/>
      <c r="C176" s="34"/>
      <c r="D176" s="33"/>
      <c r="E176" s="32"/>
      <c r="F176" s="32"/>
      <c r="G176" s="10"/>
    </row>
    <row r="177" ht="15.75" customHeight="1">
      <c r="A177" s="32"/>
      <c r="B177" s="33"/>
      <c r="C177" s="34"/>
      <c r="D177" s="33"/>
      <c r="E177" s="32"/>
      <c r="F177" s="32"/>
      <c r="G177" s="10"/>
    </row>
    <row r="178" ht="15.75" customHeight="1">
      <c r="A178" s="32"/>
      <c r="B178" s="33"/>
      <c r="C178" s="34"/>
      <c r="D178" s="33"/>
      <c r="E178" s="32"/>
      <c r="F178" s="32"/>
      <c r="G178" s="10"/>
    </row>
    <row r="179" ht="15.75" customHeight="1">
      <c r="A179" s="32"/>
      <c r="B179" s="33"/>
      <c r="C179" s="34"/>
      <c r="D179" s="33"/>
      <c r="E179" s="32"/>
      <c r="F179" s="32"/>
      <c r="G179" s="10"/>
    </row>
    <row r="180" ht="15.75" customHeight="1">
      <c r="A180" s="32"/>
      <c r="B180" s="33"/>
      <c r="C180" s="34"/>
      <c r="D180" s="33"/>
      <c r="E180" s="32"/>
      <c r="F180" s="32"/>
      <c r="G180" s="10"/>
    </row>
    <row r="181" ht="15.75" customHeight="1">
      <c r="A181" s="32"/>
      <c r="B181" s="33"/>
      <c r="C181" s="34"/>
      <c r="D181" s="33"/>
      <c r="E181" s="32"/>
      <c r="F181" s="32"/>
      <c r="G181" s="10"/>
    </row>
    <row r="182" ht="15.75" customHeight="1">
      <c r="A182" s="32"/>
      <c r="B182" s="33"/>
      <c r="C182" s="34"/>
      <c r="D182" s="33"/>
      <c r="E182" s="32"/>
      <c r="F182" s="32"/>
      <c r="G182" s="10"/>
    </row>
    <row r="183" ht="15.75" customHeight="1">
      <c r="A183" s="32"/>
      <c r="B183" s="33"/>
      <c r="C183" s="34"/>
      <c r="D183" s="33"/>
      <c r="E183" s="32"/>
      <c r="F183" s="32"/>
      <c r="G183" s="10"/>
    </row>
    <row r="184" ht="15.75" customHeight="1">
      <c r="A184" s="32"/>
      <c r="B184" s="33"/>
      <c r="C184" s="34"/>
      <c r="D184" s="33"/>
      <c r="E184" s="32"/>
      <c r="F184" s="32"/>
      <c r="G184" s="10"/>
    </row>
    <row r="185" ht="15.75" customHeight="1">
      <c r="A185" s="32"/>
      <c r="B185" s="33"/>
      <c r="C185" s="34"/>
      <c r="D185" s="33"/>
      <c r="E185" s="32"/>
      <c r="F185" s="32"/>
      <c r="G185" s="10"/>
    </row>
    <row r="186" ht="15.75" customHeight="1">
      <c r="A186" s="32"/>
      <c r="B186" s="33"/>
      <c r="C186" s="34"/>
      <c r="D186" s="33"/>
      <c r="E186" s="32"/>
      <c r="F186" s="32"/>
      <c r="G186" s="10"/>
    </row>
    <row r="187" ht="15.75" customHeight="1">
      <c r="A187" s="32"/>
      <c r="B187" s="33"/>
      <c r="C187" s="34"/>
      <c r="D187" s="33"/>
      <c r="E187" s="32"/>
      <c r="F187" s="32"/>
      <c r="G187" s="10"/>
    </row>
    <row r="188" ht="15.75" customHeight="1">
      <c r="A188" s="32"/>
      <c r="B188" s="33"/>
      <c r="C188" s="34"/>
      <c r="D188" s="33"/>
      <c r="E188" s="32"/>
      <c r="F188" s="32"/>
      <c r="G188" s="10"/>
    </row>
    <row r="189" ht="15.75" customHeight="1">
      <c r="A189" s="32"/>
      <c r="B189" s="33"/>
      <c r="C189" s="34"/>
      <c r="D189" s="33"/>
      <c r="E189" s="32"/>
      <c r="F189" s="32"/>
      <c r="G189" s="10"/>
    </row>
    <row r="190" ht="15.75" customHeight="1">
      <c r="A190" s="32"/>
      <c r="B190" s="33"/>
      <c r="C190" s="34"/>
      <c r="D190" s="33"/>
      <c r="E190" s="32"/>
      <c r="F190" s="32"/>
      <c r="G190" s="10"/>
    </row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G2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4.0"/>
    <col customWidth="1" min="2" max="2" width="32.0"/>
    <col customWidth="1" min="3" max="6" width="14.0"/>
    <col customWidth="1" min="7" max="7" width="22.0"/>
    <col customWidth="1" min="8" max="26" width="8.71"/>
  </cols>
  <sheetData>
    <row r="1">
      <c r="A1" s="16" t="s">
        <v>298</v>
      </c>
    </row>
    <row r="2">
      <c r="A2" s="4" t="s">
        <v>299</v>
      </c>
    </row>
    <row r="4">
      <c r="A4" s="5" t="s">
        <v>292</v>
      </c>
      <c r="B4" s="5" t="s">
        <v>293</v>
      </c>
      <c r="C4" s="5" t="s">
        <v>294</v>
      </c>
      <c r="D4" s="5" t="s">
        <v>295</v>
      </c>
      <c r="E4" s="5" t="s">
        <v>296</v>
      </c>
      <c r="F4" s="5" t="s">
        <v>260</v>
      </c>
      <c r="G4" s="5" t="s">
        <v>297</v>
      </c>
    </row>
    <row r="5">
      <c r="A5" s="32"/>
      <c r="B5" s="33"/>
      <c r="C5" s="34"/>
      <c r="D5" s="33"/>
      <c r="E5" s="32"/>
      <c r="F5" s="32"/>
      <c r="G5" s="10"/>
    </row>
    <row r="6">
      <c r="A6" s="32"/>
      <c r="B6" s="33"/>
      <c r="C6" s="34"/>
      <c r="D6" s="33"/>
      <c r="E6" s="32"/>
      <c r="F6" s="32"/>
      <c r="G6" s="10"/>
    </row>
    <row r="7">
      <c r="A7" s="32"/>
      <c r="B7" s="33"/>
      <c r="C7" s="34"/>
      <c r="D7" s="33"/>
      <c r="E7" s="32"/>
      <c r="F7" s="32"/>
      <c r="G7" s="10"/>
    </row>
    <row r="8">
      <c r="A8" s="32"/>
      <c r="B8" s="33"/>
      <c r="C8" s="34"/>
      <c r="D8" s="33"/>
      <c r="E8" s="32"/>
      <c r="F8" s="32"/>
      <c r="G8" s="10"/>
    </row>
    <row r="9">
      <c r="A9" s="32"/>
      <c r="B9" s="33"/>
      <c r="C9" s="34"/>
      <c r="D9" s="33"/>
      <c r="E9" s="32"/>
      <c r="F9" s="32"/>
      <c r="G9" s="10"/>
    </row>
    <row r="10">
      <c r="A10" s="32"/>
      <c r="B10" s="33"/>
      <c r="C10" s="34"/>
      <c r="D10" s="33"/>
      <c r="E10" s="32"/>
      <c r="F10" s="32"/>
      <c r="G10" s="10"/>
    </row>
    <row r="11">
      <c r="A11" s="32"/>
      <c r="B11" s="33"/>
      <c r="C11" s="34"/>
      <c r="D11" s="33"/>
      <c r="E11" s="32"/>
      <c r="F11" s="32"/>
      <c r="G11" s="10"/>
    </row>
    <row r="12">
      <c r="A12" s="32"/>
      <c r="B12" s="33"/>
      <c r="C12" s="34"/>
      <c r="D12" s="33"/>
      <c r="E12" s="32"/>
      <c r="F12" s="32"/>
      <c r="G12" s="10"/>
    </row>
    <row r="13">
      <c r="A13" s="32"/>
      <c r="B13" s="33"/>
      <c r="C13" s="34"/>
      <c r="D13" s="33"/>
      <c r="E13" s="32"/>
      <c r="F13" s="32"/>
      <c r="G13" s="10"/>
    </row>
    <row r="14">
      <c r="A14" s="32"/>
      <c r="B14" s="33"/>
      <c r="C14" s="34"/>
      <c r="D14" s="33"/>
      <c r="E14" s="32"/>
      <c r="F14" s="32"/>
      <c r="G14" s="10"/>
    </row>
    <row r="15">
      <c r="A15" s="32"/>
      <c r="B15" s="33"/>
      <c r="C15" s="34"/>
      <c r="D15" s="33"/>
      <c r="E15" s="32"/>
      <c r="F15" s="32"/>
      <c r="G15" s="10"/>
    </row>
    <row r="16">
      <c r="A16" s="32"/>
      <c r="B16" s="33"/>
      <c r="C16" s="34"/>
      <c r="D16" s="33"/>
      <c r="E16" s="32"/>
      <c r="F16" s="32"/>
      <c r="G16" s="10"/>
    </row>
    <row r="17">
      <c r="A17" s="32"/>
      <c r="B17" s="33"/>
      <c r="C17" s="34"/>
      <c r="D17" s="33"/>
      <c r="E17" s="32"/>
      <c r="F17" s="32"/>
      <c r="G17" s="10"/>
    </row>
    <row r="18">
      <c r="A18" s="32"/>
      <c r="B18" s="33"/>
      <c r="C18" s="34"/>
      <c r="D18" s="33"/>
      <c r="E18" s="32"/>
      <c r="F18" s="32"/>
      <c r="G18" s="10"/>
    </row>
    <row r="19">
      <c r="A19" s="32"/>
      <c r="B19" s="33"/>
      <c r="C19" s="34"/>
      <c r="D19" s="33"/>
      <c r="E19" s="32"/>
      <c r="F19" s="32"/>
      <c r="G19" s="10"/>
    </row>
    <row r="20">
      <c r="A20" s="32"/>
      <c r="B20" s="33"/>
      <c r="C20" s="34"/>
      <c r="D20" s="33"/>
      <c r="E20" s="32"/>
      <c r="F20" s="32"/>
      <c r="G20" s="10"/>
    </row>
    <row r="21" ht="15.75" customHeight="1">
      <c r="A21" s="32"/>
      <c r="B21" s="33"/>
      <c r="C21" s="34"/>
      <c r="D21" s="33"/>
      <c r="E21" s="32"/>
      <c r="F21" s="32"/>
      <c r="G21" s="10"/>
    </row>
    <row r="22" ht="15.75" customHeight="1">
      <c r="A22" s="32"/>
      <c r="B22" s="33"/>
      <c r="C22" s="34"/>
      <c r="D22" s="33"/>
      <c r="E22" s="32"/>
      <c r="F22" s="32"/>
      <c r="G22" s="10"/>
    </row>
    <row r="23" ht="15.75" customHeight="1">
      <c r="A23" s="32"/>
      <c r="B23" s="33"/>
      <c r="C23" s="34"/>
      <c r="D23" s="33"/>
      <c r="E23" s="32"/>
      <c r="F23" s="32"/>
      <c r="G23" s="10"/>
    </row>
    <row r="24" ht="15.75" customHeight="1">
      <c r="A24" s="32"/>
      <c r="B24" s="33"/>
      <c r="C24" s="34"/>
      <c r="D24" s="33"/>
      <c r="E24" s="32"/>
      <c r="F24" s="32"/>
      <c r="G24" s="10"/>
    </row>
    <row r="25" ht="15.75" customHeight="1">
      <c r="A25" s="32"/>
      <c r="B25" s="33"/>
      <c r="C25" s="34"/>
      <c r="D25" s="33"/>
      <c r="E25" s="32"/>
      <c r="F25" s="32"/>
      <c r="G25" s="10"/>
    </row>
    <row r="26" ht="15.75" customHeight="1">
      <c r="A26" s="32"/>
      <c r="B26" s="33"/>
      <c r="C26" s="34"/>
      <c r="D26" s="33"/>
      <c r="E26" s="32"/>
      <c r="F26" s="32"/>
      <c r="G26" s="10"/>
    </row>
    <row r="27" ht="15.75" customHeight="1">
      <c r="A27" s="32"/>
      <c r="B27" s="33"/>
      <c r="C27" s="34"/>
      <c r="D27" s="33"/>
      <c r="E27" s="32"/>
      <c r="F27" s="32"/>
      <c r="G27" s="10"/>
    </row>
    <row r="28" ht="15.75" customHeight="1">
      <c r="A28" s="32"/>
      <c r="B28" s="33"/>
      <c r="C28" s="34"/>
      <c r="D28" s="33"/>
      <c r="E28" s="32"/>
      <c r="F28" s="32"/>
      <c r="G28" s="10"/>
    </row>
    <row r="29" ht="15.75" customHeight="1">
      <c r="A29" s="32"/>
      <c r="B29" s="33"/>
      <c r="C29" s="34"/>
      <c r="D29" s="33"/>
      <c r="E29" s="32"/>
      <c r="F29" s="32"/>
      <c r="G29" s="10"/>
    </row>
    <row r="30" ht="15.75" customHeight="1">
      <c r="A30" s="32"/>
      <c r="B30" s="33"/>
      <c r="C30" s="34"/>
      <c r="D30" s="33"/>
      <c r="E30" s="32"/>
      <c r="F30" s="32"/>
      <c r="G30" s="10"/>
    </row>
    <row r="31" ht="15.75" customHeight="1">
      <c r="A31" s="32"/>
      <c r="B31" s="33"/>
      <c r="C31" s="34"/>
      <c r="D31" s="33"/>
      <c r="E31" s="32"/>
      <c r="F31" s="32"/>
      <c r="G31" s="10"/>
    </row>
    <row r="32" ht="15.75" customHeight="1">
      <c r="A32" s="32"/>
      <c r="B32" s="33"/>
      <c r="C32" s="34"/>
      <c r="D32" s="33"/>
      <c r="E32" s="32"/>
      <c r="F32" s="32"/>
      <c r="G32" s="10"/>
    </row>
    <row r="33" ht="15.75" customHeight="1">
      <c r="A33" s="32"/>
      <c r="B33" s="33"/>
      <c r="C33" s="34"/>
      <c r="D33" s="33"/>
      <c r="E33" s="32"/>
      <c r="F33" s="32"/>
      <c r="G33" s="10"/>
    </row>
    <row r="34" ht="15.75" customHeight="1">
      <c r="A34" s="32"/>
      <c r="B34" s="33"/>
      <c r="C34" s="34"/>
      <c r="D34" s="33"/>
      <c r="E34" s="32"/>
      <c r="F34" s="32"/>
      <c r="G34" s="10"/>
    </row>
    <row r="35" ht="15.75" customHeight="1">
      <c r="A35" s="32"/>
      <c r="B35" s="33"/>
      <c r="C35" s="34"/>
      <c r="D35" s="33"/>
      <c r="E35" s="32"/>
      <c r="F35" s="32"/>
      <c r="G35" s="10"/>
    </row>
    <row r="36" ht="15.75" customHeight="1">
      <c r="A36" s="32"/>
      <c r="B36" s="33"/>
      <c r="C36" s="34"/>
      <c r="D36" s="33"/>
      <c r="E36" s="32"/>
      <c r="F36" s="32"/>
      <c r="G36" s="10"/>
    </row>
    <row r="37" ht="15.75" customHeight="1">
      <c r="A37" s="32"/>
      <c r="B37" s="33"/>
      <c r="C37" s="34"/>
      <c r="D37" s="33"/>
      <c r="E37" s="32"/>
      <c r="F37" s="32"/>
      <c r="G37" s="10"/>
    </row>
    <row r="38" ht="15.75" customHeight="1">
      <c r="A38" s="32"/>
      <c r="B38" s="33"/>
      <c r="C38" s="34"/>
      <c r="D38" s="33"/>
      <c r="E38" s="32"/>
      <c r="F38" s="32"/>
      <c r="G38" s="10"/>
    </row>
    <row r="39" ht="15.75" customHeight="1">
      <c r="A39" s="32"/>
      <c r="B39" s="33"/>
      <c r="C39" s="34"/>
      <c r="D39" s="33"/>
      <c r="E39" s="32"/>
      <c r="F39" s="32"/>
      <c r="G39" s="10"/>
    </row>
    <row r="40" ht="15.75" customHeight="1">
      <c r="A40" s="32"/>
      <c r="B40" s="33"/>
      <c r="C40" s="34"/>
      <c r="D40" s="33"/>
      <c r="E40" s="32"/>
      <c r="F40" s="32"/>
      <c r="G40" s="10"/>
    </row>
    <row r="41" ht="15.75" customHeight="1">
      <c r="A41" s="32"/>
      <c r="B41" s="33"/>
      <c r="C41" s="34"/>
      <c r="D41" s="33"/>
      <c r="E41" s="32"/>
      <c r="F41" s="32"/>
      <c r="G41" s="10"/>
    </row>
    <row r="42" ht="15.75" customHeight="1">
      <c r="A42" s="32"/>
      <c r="B42" s="33"/>
      <c r="C42" s="34"/>
      <c r="D42" s="33"/>
      <c r="E42" s="32"/>
      <c r="F42" s="32"/>
      <c r="G42" s="10"/>
    </row>
    <row r="43" ht="15.75" customHeight="1">
      <c r="A43" s="32"/>
      <c r="B43" s="33"/>
      <c r="C43" s="34"/>
      <c r="D43" s="33"/>
      <c r="E43" s="32"/>
      <c r="F43" s="32"/>
      <c r="G43" s="10"/>
    </row>
    <row r="44" ht="15.75" customHeight="1">
      <c r="A44" s="32"/>
      <c r="B44" s="33"/>
      <c r="C44" s="34"/>
      <c r="D44" s="33"/>
      <c r="E44" s="32"/>
      <c r="F44" s="32"/>
      <c r="G44" s="10"/>
    </row>
    <row r="45" ht="15.75" customHeight="1">
      <c r="A45" s="32"/>
      <c r="B45" s="33"/>
      <c r="C45" s="34"/>
      <c r="D45" s="33"/>
      <c r="E45" s="32"/>
      <c r="F45" s="32"/>
      <c r="G45" s="10"/>
    </row>
    <row r="46" ht="15.75" customHeight="1">
      <c r="A46" s="32"/>
      <c r="B46" s="33"/>
      <c r="C46" s="34"/>
      <c r="D46" s="33"/>
      <c r="E46" s="32"/>
      <c r="F46" s="32"/>
      <c r="G46" s="10"/>
    </row>
    <row r="47" ht="15.75" customHeight="1">
      <c r="A47" s="32"/>
      <c r="B47" s="33"/>
      <c r="C47" s="34"/>
      <c r="D47" s="33"/>
      <c r="E47" s="32"/>
      <c r="F47" s="32"/>
      <c r="G47" s="10"/>
    </row>
    <row r="48" ht="15.75" customHeight="1">
      <c r="A48" s="32"/>
      <c r="B48" s="33"/>
      <c r="C48" s="34"/>
      <c r="D48" s="33"/>
      <c r="E48" s="32"/>
      <c r="F48" s="32"/>
      <c r="G48" s="10"/>
    </row>
    <row r="49" ht="15.75" customHeight="1">
      <c r="A49" s="32"/>
      <c r="B49" s="33"/>
      <c r="C49" s="34"/>
      <c r="D49" s="33"/>
      <c r="E49" s="32"/>
      <c r="F49" s="32"/>
      <c r="G49" s="10"/>
    </row>
    <row r="50" ht="15.75" customHeight="1">
      <c r="A50" s="32"/>
      <c r="B50" s="33"/>
      <c r="C50" s="34"/>
      <c r="D50" s="33"/>
      <c r="E50" s="32"/>
      <c r="F50" s="32"/>
      <c r="G50" s="10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G2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4.0"/>
    <col customWidth="1" min="2" max="2" width="32.0"/>
    <col customWidth="1" min="3" max="5" width="14.0"/>
    <col customWidth="1" min="6" max="6" width="27.57"/>
    <col customWidth="1" min="7" max="7" width="22.0"/>
    <col customWidth="1" min="8" max="26" width="8.71"/>
  </cols>
  <sheetData>
    <row r="1">
      <c r="A1" s="16" t="s">
        <v>300</v>
      </c>
    </row>
    <row r="2">
      <c r="A2" s="4" t="s">
        <v>301</v>
      </c>
    </row>
    <row r="4">
      <c r="A4" s="5" t="s">
        <v>294</v>
      </c>
      <c r="B4" s="5" t="s">
        <v>302</v>
      </c>
      <c r="C4" s="5" t="s">
        <v>84</v>
      </c>
      <c r="D4" s="5" t="s">
        <v>303</v>
      </c>
      <c r="E4" s="5" t="s">
        <v>304</v>
      </c>
      <c r="F4" s="5" t="s">
        <v>305</v>
      </c>
      <c r="G4" s="5" t="s">
        <v>297</v>
      </c>
    </row>
    <row r="5">
      <c r="A5" s="34"/>
      <c r="B5" s="33"/>
      <c r="C5" s="33"/>
      <c r="D5" s="32"/>
      <c r="E5" s="33"/>
      <c r="F5" s="33"/>
      <c r="G5" s="33"/>
    </row>
    <row r="6">
      <c r="A6" s="34"/>
      <c r="B6" s="33"/>
      <c r="C6" s="33"/>
      <c r="D6" s="32"/>
      <c r="E6" s="33"/>
      <c r="F6" s="33"/>
      <c r="G6" s="33"/>
    </row>
    <row r="7">
      <c r="A7" s="34"/>
      <c r="B7" s="33"/>
      <c r="C7" s="33"/>
      <c r="D7" s="32"/>
      <c r="E7" s="33"/>
      <c r="F7" s="33"/>
      <c r="G7" s="33"/>
    </row>
    <row r="8">
      <c r="A8" s="34"/>
      <c r="B8" s="33"/>
      <c r="C8" s="33"/>
      <c r="D8" s="32"/>
      <c r="E8" s="33"/>
      <c r="F8" s="33"/>
      <c r="G8" s="33"/>
    </row>
    <row r="9">
      <c r="A9" s="34"/>
      <c r="B9" s="33"/>
      <c r="C9" s="33"/>
      <c r="D9" s="32"/>
      <c r="E9" s="33"/>
      <c r="F9" s="33"/>
      <c r="G9" s="33"/>
    </row>
    <row r="10">
      <c r="A10" s="34"/>
      <c r="B10" s="33"/>
      <c r="C10" s="33"/>
      <c r="D10" s="32"/>
      <c r="E10" s="33"/>
      <c r="F10" s="33"/>
      <c r="G10" s="33"/>
    </row>
    <row r="11">
      <c r="A11" s="34"/>
      <c r="B11" s="33"/>
      <c r="C11" s="33"/>
      <c r="D11" s="32"/>
      <c r="E11" s="33"/>
      <c r="F11" s="33"/>
      <c r="G11" s="33"/>
    </row>
    <row r="12">
      <c r="A12" s="34"/>
      <c r="B12" s="33"/>
      <c r="C12" s="33"/>
      <c r="D12" s="32"/>
      <c r="E12" s="33"/>
      <c r="F12" s="33"/>
      <c r="G12" s="33"/>
    </row>
    <row r="13">
      <c r="A13" s="34"/>
      <c r="B13" s="33"/>
      <c r="C13" s="33"/>
      <c r="D13" s="32"/>
      <c r="E13" s="33"/>
      <c r="F13" s="33"/>
      <c r="G13" s="33"/>
    </row>
    <row r="14">
      <c r="A14" s="34"/>
      <c r="B14" s="33"/>
      <c r="C14" s="33"/>
      <c r="D14" s="32"/>
      <c r="E14" s="33"/>
      <c r="F14" s="33"/>
      <c r="G14" s="33"/>
    </row>
    <row r="15">
      <c r="A15" s="34"/>
      <c r="B15" s="33"/>
      <c r="C15" s="33"/>
      <c r="D15" s="32"/>
      <c r="E15" s="33"/>
      <c r="F15" s="33"/>
      <c r="G15" s="33"/>
    </row>
    <row r="16">
      <c r="A16" s="34"/>
      <c r="B16" s="33"/>
      <c r="C16" s="33"/>
      <c r="D16" s="32"/>
      <c r="E16" s="33"/>
      <c r="F16" s="33"/>
      <c r="G16" s="33"/>
    </row>
    <row r="17">
      <c r="A17" s="34"/>
      <c r="B17" s="33"/>
      <c r="C17" s="33"/>
      <c r="D17" s="32"/>
      <c r="E17" s="33"/>
      <c r="F17" s="33"/>
      <c r="G17" s="33"/>
    </row>
    <row r="18">
      <c r="A18" s="34"/>
      <c r="B18" s="33"/>
      <c r="C18" s="33"/>
      <c r="D18" s="32"/>
      <c r="E18" s="33"/>
      <c r="F18" s="33"/>
      <c r="G18" s="33"/>
    </row>
    <row r="19">
      <c r="A19" s="34"/>
      <c r="B19" s="33"/>
      <c r="C19" s="33"/>
      <c r="D19" s="32"/>
      <c r="E19" s="33"/>
      <c r="F19" s="33"/>
      <c r="G19" s="33"/>
    </row>
    <row r="20">
      <c r="A20" s="34"/>
      <c r="B20" s="33"/>
      <c r="C20" s="33"/>
      <c r="D20" s="32"/>
      <c r="E20" s="33"/>
      <c r="F20" s="33"/>
      <c r="G20" s="33"/>
    </row>
    <row r="21" ht="15.75" customHeight="1">
      <c r="A21" s="34"/>
      <c r="B21" s="33"/>
      <c r="C21" s="33"/>
      <c r="D21" s="32"/>
      <c r="E21" s="33"/>
      <c r="F21" s="33"/>
      <c r="G21" s="33"/>
    </row>
    <row r="22" ht="15.75" customHeight="1">
      <c r="A22" s="34"/>
      <c r="B22" s="33"/>
      <c r="C22" s="33"/>
      <c r="D22" s="32"/>
      <c r="E22" s="33"/>
      <c r="F22" s="33"/>
      <c r="G22" s="33"/>
    </row>
    <row r="23" ht="15.75" customHeight="1">
      <c r="A23" s="34"/>
      <c r="B23" s="33"/>
      <c r="C23" s="33"/>
      <c r="D23" s="32"/>
      <c r="E23" s="33"/>
      <c r="F23" s="33"/>
      <c r="G23" s="33"/>
    </row>
    <row r="24" ht="15.75" customHeight="1">
      <c r="A24" s="34"/>
      <c r="B24" s="33"/>
      <c r="C24" s="33"/>
      <c r="D24" s="32"/>
      <c r="E24" s="33"/>
      <c r="F24" s="33"/>
      <c r="G24" s="33"/>
    </row>
    <row r="25" ht="15.75" customHeight="1">
      <c r="A25" s="34"/>
      <c r="B25" s="33"/>
      <c r="C25" s="33"/>
      <c r="D25" s="32"/>
      <c r="E25" s="33"/>
      <c r="F25" s="33"/>
      <c r="G25" s="33"/>
    </row>
    <row r="26" ht="15.75" customHeight="1">
      <c r="A26" s="34"/>
      <c r="B26" s="33"/>
      <c r="C26" s="33"/>
      <c r="D26" s="32"/>
      <c r="E26" s="33"/>
      <c r="F26" s="33"/>
      <c r="G26" s="33"/>
    </row>
    <row r="27" ht="15.75" customHeight="1">
      <c r="A27" s="34"/>
      <c r="B27" s="35"/>
      <c r="C27" s="33"/>
      <c r="D27" s="32"/>
      <c r="E27" s="33"/>
      <c r="F27" s="33"/>
      <c r="G27" s="33"/>
    </row>
    <row r="28" ht="15.75" customHeight="1">
      <c r="A28" s="34"/>
      <c r="B28" s="33"/>
      <c r="C28" s="33"/>
      <c r="D28" s="32"/>
      <c r="E28" s="33"/>
      <c r="F28" s="33"/>
      <c r="G28" s="33"/>
    </row>
    <row r="29" ht="15.75" customHeight="1">
      <c r="A29" s="34"/>
      <c r="B29" s="33"/>
      <c r="C29" s="33"/>
      <c r="D29" s="32"/>
      <c r="E29" s="33"/>
      <c r="F29" s="33"/>
      <c r="G29" s="33"/>
    </row>
    <row r="30" ht="15.75" customHeight="1">
      <c r="A30" s="34"/>
      <c r="B30" s="33"/>
      <c r="C30" s="33"/>
      <c r="D30" s="32"/>
      <c r="E30" s="33"/>
      <c r="F30" s="33"/>
      <c r="G30" s="33"/>
    </row>
    <row r="31" ht="15.75" customHeight="1">
      <c r="A31" s="34"/>
      <c r="B31" s="33"/>
      <c r="C31" s="33"/>
      <c r="D31" s="32"/>
      <c r="E31" s="33"/>
      <c r="F31" s="33"/>
      <c r="G31" s="33"/>
    </row>
    <row r="32" ht="15.75" customHeight="1">
      <c r="A32" s="34"/>
      <c r="B32" s="33"/>
      <c r="C32" s="33"/>
      <c r="D32" s="32"/>
      <c r="E32" s="33"/>
      <c r="F32" s="33"/>
      <c r="G32" s="33"/>
    </row>
    <row r="33" ht="15.75" customHeight="1">
      <c r="A33" s="34"/>
      <c r="B33" s="33"/>
      <c r="C33" s="33"/>
      <c r="D33" s="32"/>
      <c r="E33" s="33"/>
      <c r="F33" s="33"/>
      <c r="G33" s="33"/>
    </row>
    <row r="34" ht="15.75" customHeight="1">
      <c r="A34" s="34"/>
      <c r="B34" s="33"/>
      <c r="C34" s="33"/>
      <c r="D34" s="32"/>
      <c r="E34" s="33"/>
      <c r="F34" s="33"/>
      <c r="G34" s="33"/>
    </row>
    <row r="35" ht="15.75" customHeight="1">
      <c r="A35" s="34"/>
      <c r="B35" s="33"/>
      <c r="C35" s="33"/>
      <c r="D35" s="32"/>
      <c r="E35" s="33"/>
      <c r="F35" s="33"/>
      <c r="G35" s="33"/>
    </row>
    <row r="36" ht="15.75" customHeight="1">
      <c r="A36" s="34"/>
      <c r="B36" s="33"/>
      <c r="C36" s="33"/>
      <c r="D36" s="32"/>
      <c r="E36" s="33"/>
      <c r="F36" s="33"/>
      <c r="G36" s="33"/>
    </row>
    <row r="37" ht="15.75" customHeight="1">
      <c r="A37" s="34"/>
      <c r="B37" s="33"/>
      <c r="C37" s="33"/>
      <c r="D37" s="32"/>
      <c r="E37" s="33"/>
      <c r="F37" s="33"/>
      <c r="G37" s="33"/>
    </row>
    <row r="38" ht="15.75" customHeight="1">
      <c r="A38" s="34"/>
      <c r="B38" s="33"/>
      <c r="C38" s="33"/>
      <c r="D38" s="32"/>
      <c r="E38" s="33"/>
      <c r="F38" s="33"/>
      <c r="G38" s="33"/>
    </row>
    <row r="39" ht="15.75" customHeight="1">
      <c r="A39" s="34"/>
      <c r="B39" s="33"/>
      <c r="C39" s="33"/>
      <c r="D39" s="32"/>
      <c r="E39" s="33"/>
      <c r="F39" s="33"/>
      <c r="G39" s="33"/>
    </row>
    <row r="40" ht="15.75" customHeight="1">
      <c r="A40" s="34"/>
      <c r="B40" s="33"/>
      <c r="C40" s="33"/>
      <c r="D40" s="32"/>
      <c r="E40" s="33"/>
      <c r="F40" s="33"/>
      <c r="G40" s="33"/>
    </row>
    <row r="41" ht="15.75" customHeight="1">
      <c r="A41" s="34"/>
      <c r="B41" s="33"/>
      <c r="C41" s="33"/>
      <c r="D41" s="32"/>
      <c r="E41" s="33"/>
      <c r="F41" s="33"/>
      <c r="G41" s="33"/>
    </row>
    <row r="42" ht="15.75" customHeight="1">
      <c r="A42" s="34"/>
      <c r="B42" s="33"/>
      <c r="C42" s="33"/>
      <c r="D42" s="32"/>
      <c r="E42" s="33"/>
      <c r="F42" s="33"/>
      <c r="G42" s="33"/>
    </row>
    <row r="43" ht="15.75" customHeight="1">
      <c r="A43" s="34"/>
      <c r="B43" s="33"/>
      <c r="C43" s="33"/>
      <c r="D43" s="32"/>
      <c r="E43" s="33"/>
      <c r="F43" s="33"/>
      <c r="G43" s="33"/>
    </row>
    <row r="44" ht="15.75" customHeight="1">
      <c r="A44" s="34"/>
      <c r="B44" s="33"/>
      <c r="C44" s="33"/>
      <c r="D44" s="32"/>
      <c r="E44" s="33"/>
      <c r="F44" s="33"/>
      <c r="G44" s="33"/>
    </row>
    <row r="45" ht="15.75" customHeight="1">
      <c r="A45" s="34"/>
      <c r="B45" s="33"/>
      <c r="C45" s="33"/>
      <c r="D45" s="32"/>
      <c r="E45" s="33"/>
      <c r="F45" s="33"/>
      <c r="G45" s="33"/>
    </row>
    <row r="46" ht="15.75" customHeight="1">
      <c r="A46" s="34"/>
      <c r="B46" s="33"/>
      <c r="C46" s="33"/>
      <c r="D46" s="32"/>
      <c r="E46" s="33"/>
      <c r="F46" s="33"/>
      <c r="G46" s="33"/>
    </row>
    <row r="47" ht="15.75" customHeight="1">
      <c r="A47" s="34"/>
      <c r="B47" s="33"/>
      <c r="C47" s="33"/>
      <c r="D47" s="32"/>
      <c r="E47" s="33"/>
      <c r="F47" s="33"/>
      <c r="G47" s="33"/>
    </row>
    <row r="48" ht="15.75" customHeight="1">
      <c r="A48" s="34"/>
      <c r="B48" s="33"/>
      <c r="C48" s="33"/>
      <c r="D48" s="32"/>
      <c r="E48" s="33"/>
      <c r="F48" s="33"/>
      <c r="G48" s="33"/>
    </row>
    <row r="49" ht="15.75" customHeight="1">
      <c r="A49" s="34"/>
      <c r="B49" s="33"/>
      <c r="C49" s="33"/>
      <c r="D49" s="32"/>
      <c r="E49" s="33"/>
      <c r="F49" s="33"/>
      <c r="G49" s="33"/>
    </row>
    <row r="50" ht="15.75" customHeight="1">
      <c r="A50" s="34"/>
      <c r="B50" s="33"/>
      <c r="C50" s="33"/>
      <c r="D50" s="32"/>
      <c r="E50" s="33"/>
      <c r="F50" s="33"/>
      <c r="G50" s="33"/>
    </row>
    <row r="51" ht="15.75" customHeight="1">
      <c r="A51" s="34"/>
      <c r="B51" s="33"/>
      <c r="C51" s="33"/>
      <c r="D51" s="32"/>
      <c r="E51" s="33"/>
      <c r="F51" s="33"/>
      <c r="G51" s="33"/>
    </row>
    <row r="52" ht="15.75" customHeight="1">
      <c r="A52" s="34"/>
      <c r="B52" s="33"/>
      <c r="C52" s="33"/>
      <c r="D52" s="32"/>
      <c r="E52" s="33"/>
      <c r="F52" s="33"/>
      <c r="G52" s="33"/>
    </row>
    <row r="53" ht="15.75" customHeight="1">
      <c r="A53" s="34"/>
      <c r="B53" s="33"/>
      <c r="C53" s="33"/>
      <c r="D53" s="32"/>
      <c r="E53" s="33"/>
      <c r="F53" s="33"/>
      <c r="G53" s="33"/>
    </row>
    <row r="54" ht="15.75" customHeight="1">
      <c r="A54" s="34"/>
      <c r="B54" s="33"/>
      <c r="C54" s="33"/>
      <c r="D54" s="32"/>
      <c r="E54" s="33"/>
      <c r="F54" s="33"/>
      <c r="G54" s="33"/>
    </row>
    <row r="55" ht="15.75" customHeight="1">
      <c r="A55" s="34"/>
      <c r="B55" s="33"/>
      <c r="C55" s="33"/>
      <c r="D55" s="32"/>
      <c r="E55" s="33"/>
      <c r="F55" s="33"/>
      <c r="G55" s="33"/>
    </row>
    <row r="56" ht="15.75" customHeight="1">
      <c r="A56" s="34"/>
      <c r="B56" s="33"/>
      <c r="C56" s="33"/>
      <c r="D56" s="32"/>
      <c r="E56" s="33"/>
      <c r="F56" s="33"/>
      <c r="G56" s="33"/>
    </row>
    <row r="57" ht="15.75" customHeight="1">
      <c r="A57" s="34"/>
      <c r="B57" s="33"/>
      <c r="C57" s="33"/>
      <c r="D57" s="32"/>
      <c r="E57" s="33"/>
      <c r="F57" s="33"/>
      <c r="G57" s="33"/>
    </row>
    <row r="58" ht="15.75" customHeight="1">
      <c r="A58" s="34"/>
      <c r="B58" s="33"/>
      <c r="C58" s="33"/>
      <c r="D58" s="32"/>
      <c r="E58" s="33"/>
      <c r="F58" s="33"/>
      <c r="G58" s="33"/>
    </row>
    <row r="59" ht="15.75" customHeight="1">
      <c r="A59" s="34"/>
      <c r="B59" s="33"/>
      <c r="C59" s="33"/>
      <c r="D59" s="32"/>
      <c r="E59" s="33"/>
      <c r="F59" s="33"/>
      <c r="G59" s="33"/>
    </row>
    <row r="60" ht="15.75" customHeight="1">
      <c r="A60" s="34"/>
      <c r="B60" s="33"/>
      <c r="C60" s="33"/>
      <c r="D60" s="32"/>
      <c r="E60" s="33"/>
      <c r="F60" s="33"/>
      <c r="G60" s="33"/>
    </row>
    <row r="61" ht="15.75" customHeight="1">
      <c r="A61" s="34"/>
      <c r="B61" s="33"/>
      <c r="C61" s="33"/>
      <c r="D61" s="32"/>
      <c r="E61" s="33"/>
      <c r="F61" s="33"/>
      <c r="G61" s="33"/>
    </row>
    <row r="62" ht="15.75" customHeight="1">
      <c r="A62" s="34"/>
      <c r="B62" s="33"/>
      <c r="C62" s="33"/>
      <c r="D62" s="32"/>
      <c r="E62" s="33"/>
      <c r="F62" s="33"/>
      <c r="G62" s="33"/>
    </row>
    <row r="63" ht="15.75" customHeight="1">
      <c r="A63" s="34"/>
      <c r="B63" s="33"/>
      <c r="C63" s="33"/>
      <c r="D63" s="32"/>
      <c r="E63" s="33"/>
      <c r="F63" s="33"/>
      <c r="G63" s="33"/>
    </row>
    <row r="64" ht="15.75" customHeight="1">
      <c r="A64" s="34"/>
      <c r="B64" s="33"/>
      <c r="C64" s="33"/>
      <c r="D64" s="32"/>
      <c r="E64" s="33"/>
      <c r="F64" s="33"/>
      <c r="G64" s="33"/>
    </row>
    <row r="65" ht="15.75" customHeight="1">
      <c r="A65" s="34"/>
      <c r="B65" s="33"/>
      <c r="C65" s="33"/>
      <c r="D65" s="32"/>
      <c r="E65" s="33"/>
      <c r="F65" s="33"/>
      <c r="G65" s="33"/>
    </row>
    <row r="66" ht="15.75" customHeight="1">
      <c r="A66" s="34"/>
      <c r="B66" s="33"/>
      <c r="C66" s="33"/>
      <c r="D66" s="32"/>
      <c r="E66" s="33"/>
      <c r="F66" s="33"/>
      <c r="G66" s="33"/>
    </row>
    <row r="67" ht="15.75" customHeight="1">
      <c r="A67" s="34"/>
      <c r="B67" s="33"/>
      <c r="C67" s="33"/>
      <c r="D67" s="32"/>
      <c r="E67" s="33"/>
      <c r="F67" s="33"/>
      <c r="G67" s="33"/>
    </row>
    <row r="68" ht="15.75" customHeight="1">
      <c r="A68" s="34"/>
      <c r="B68" s="33"/>
      <c r="C68" s="33"/>
      <c r="D68" s="32"/>
      <c r="E68" s="33"/>
      <c r="F68" s="33"/>
      <c r="G68" s="33"/>
    </row>
    <row r="69" ht="15.75" customHeight="1">
      <c r="A69" s="34"/>
      <c r="B69" s="33"/>
      <c r="C69" s="33"/>
      <c r="D69" s="32"/>
      <c r="E69" s="33"/>
      <c r="F69" s="33"/>
      <c r="G69" s="33"/>
    </row>
    <row r="70" ht="15.75" customHeight="1">
      <c r="A70" s="34"/>
      <c r="B70" s="33"/>
      <c r="C70" s="33"/>
      <c r="D70" s="32"/>
      <c r="E70" s="33"/>
      <c r="F70" s="33"/>
      <c r="G70" s="33"/>
    </row>
    <row r="71" ht="15.75" customHeight="1">
      <c r="A71" s="34"/>
      <c r="B71" s="33"/>
      <c r="C71" s="33"/>
      <c r="D71" s="32"/>
      <c r="E71" s="33"/>
      <c r="F71" s="33"/>
      <c r="G71" s="33"/>
    </row>
    <row r="72" ht="15.75" customHeight="1">
      <c r="A72" s="34"/>
      <c r="B72" s="33"/>
      <c r="C72" s="33"/>
      <c r="D72" s="32"/>
      <c r="E72" s="33"/>
      <c r="F72" s="33"/>
      <c r="G72" s="33"/>
    </row>
    <row r="73" ht="15.75" customHeight="1">
      <c r="A73" s="34"/>
      <c r="B73" s="33"/>
      <c r="C73" s="33"/>
      <c r="D73" s="32"/>
      <c r="E73" s="33"/>
      <c r="F73" s="33"/>
      <c r="G73" s="33"/>
    </row>
    <row r="74" ht="15.75" customHeight="1">
      <c r="A74" s="34"/>
      <c r="B74" s="33"/>
      <c r="C74" s="33"/>
      <c r="D74" s="32"/>
      <c r="E74" s="33"/>
      <c r="F74" s="33"/>
      <c r="G74" s="33"/>
    </row>
    <row r="75" ht="15.75" customHeight="1">
      <c r="A75" s="34"/>
      <c r="B75" s="33"/>
      <c r="C75" s="33"/>
      <c r="D75" s="32"/>
      <c r="E75" s="33"/>
      <c r="F75" s="33"/>
      <c r="G75" s="33"/>
    </row>
    <row r="76" ht="15.75" customHeight="1">
      <c r="A76" s="34"/>
      <c r="B76" s="33"/>
      <c r="C76" s="33"/>
      <c r="D76" s="32"/>
      <c r="E76" s="33"/>
      <c r="F76" s="33"/>
      <c r="G76" s="33"/>
    </row>
    <row r="77" ht="15.75" customHeight="1">
      <c r="A77" s="34"/>
      <c r="B77" s="33"/>
      <c r="C77" s="33"/>
      <c r="D77" s="32"/>
      <c r="E77" s="33"/>
      <c r="F77" s="33"/>
      <c r="G77" s="33"/>
    </row>
    <row r="78" ht="15.75" customHeight="1">
      <c r="A78" s="34"/>
      <c r="B78" s="33"/>
      <c r="C78" s="33"/>
      <c r="D78" s="32"/>
      <c r="E78" s="33"/>
      <c r="F78" s="33"/>
      <c r="G78" s="33"/>
    </row>
    <row r="79" ht="15.75" customHeight="1">
      <c r="A79" s="34"/>
      <c r="B79" s="33"/>
      <c r="C79" s="33"/>
      <c r="D79" s="32"/>
      <c r="E79" s="33"/>
      <c r="F79" s="33"/>
      <c r="G79" s="33"/>
    </row>
    <row r="80" ht="15.75" customHeight="1">
      <c r="A80" s="34"/>
      <c r="B80" s="33"/>
      <c r="C80" s="33"/>
      <c r="D80" s="32"/>
      <c r="E80" s="33"/>
      <c r="F80" s="33"/>
      <c r="G80" s="33"/>
    </row>
    <row r="81" ht="15.75" customHeight="1">
      <c r="A81" s="34"/>
      <c r="B81" s="33"/>
      <c r="C81" s="33"/>
      <c r="D81" s="32"/>
      <c r="E81" s="33"/>
      <c r="F81" s="33"/>
      <c r="G81" s="33"/>
    </row>
    <row r="82" ht="15.75" customHeight="1">
      <c r="A82" s="34"/>
      <c r="B82" s="33"/>
      <c r="C82" s="33"/>
      <c r="D82" s="32"/>
      <c r="E82" s="33"/>
      <c r="F82" s="33"/>
      <c r="G82" s="33"/>
    </row>
    <row r="83" ht="15.75" customHeight="1">
      <c r="A83" s="34"/>
      <c r="B83" s="33"/>
      <c r="C83" s="33"/>
      <c r="D83" s="32"/>
      <c r="E83" s="33"/>
      <c r="F83" s="33"/>
      <c r="G83" s="33"/>
    </row>
    <row r="84" ht="15.75" customHeight="1">
      <c r="A84" s="34"/>
      <c r="B84" s="33"/>
      <c r="C84" s="33"/>
      <c r="D84" s="32"/>
      <c r="E84" s="33"/>
      <c r="F84" s="33"/>
      <c r="G84" s="33"/>
    </row>
    <row r="85" ht="15.75" customHeight="1">
      <c r="A85" s="34"/>
      <c r="B85" s="33"/>
      <c r="C85" s="33"/>
      <c r="D85" s="32"/>
      <c r="E85" s="33"/>
      <c r="F85" s="33"/>
      <c r="G85" s="33"/>
    </row>
    <row r="86" ht="15.75" customHeight="1">
      <c r="A86" s="34"/>
      <c r="B86" s="33"/>
      <c r="C86" s="33"/>
      <c r="D86" s="32"/>
      <c r="E86" s="33"/>
      <c r="F86" s="33"/>
      <c r="G86" s="33"/>
    </row>
    <row r="87" ht="15.75" customHeight="1">
      <c r="A87" s="34"/>
      <c r="B87" s="33"/>
      <c r="C87" s="33"/>
      <c r="D87" s="32"/>
      <c r="E87" s="33"/>
      <c r="F87" s="33"/>
      <c r="G87" s="33"/>
    </row>
    <row r="88" ht="15.75" customHeight="1">
      <c r="A88" s="34"/>
      <c r="B88" s="33"/>
      <c r="C88" s="33"/>
      <c r="D88" s="32"/>
      <c r="E88" s="33"/>
      <c r="F88" s="33"/>
      <c r="G88" s="33"/>
    </row>
    <row r="89" ht="15.75" customHeight="1">
      <c r="A89" s="34"/>
      <c r="B89" s="33"/>
      <c r="C89" s="33"/>
      <c r="D89" s="32"/>
      <c r="E89" s="33"/>
      <c r="F89" s="33"/>
      <c r="G89" s="33"/>
    </row>
    <row r="90" ht="15.75" customHeight="1">
      <c r="A90" s="34"/>
      <c r="B90" s="33"/>
      <c r="C90" s="33"/>
      <c r="D90" s="32"/>
      <c r="E90" s="33"/>
      <c r="F90" s="33"/>
      <c r="G90" s="33"/>
    </row>
    <row r="91" ht="15.75" customHeight="1">
      <c r="A91" s="34"/>
      <c r="B91" s="33"/>
      <c r="C91" s="33"/>
      <c r="D91" s="32"/>
      <c r="E91" s="33"/>
      <c r="F91" s="33"/>
      <c r="G91" s="33"/>
    </row>
    <row r="92" ht="15.75" customHeight="1">
      <c r="A92" s="34"/>
      <c r="B92" s="33"/>
      <c r="C92" s="33"/>
      <c r="D92" s="32"/>
      <c r="E92" s="33"/>
      <c r="F92" s="33"/>
      <c r="G92" s="33"/>
    </row>
    <row r="93" ht="15.75" customHeight="1">
      <c r="A93" s="34"/>
      <c r="B93" s="33"/>
      <c r="C93" s="33"/>
      <c r="D93" s="32"/>
      <c r="E93" s="33"/>
      <c r="F93" s="33"/>
      <c r="G93" s="33"/>
    </row>
    <row r="94" ht="15.75" customHeight="1">
      <c r="A94" s="34"/>
      <c r="B94" s="33"/>
      <c r="C94" s="33"/>
      <c r="D94" s="32"/>
      <c r="E94" s="33"/>
      <c r="F94" s="33"/>
      <c r="G94" s="33"/>
    </row>
    <row r="95" ht="15.75" customHeight="1">
      <c r="A95" s="34"/>
      <c r="B95" s="33"/>
      <c r="C95" s="33"/>
      <c r="D95" s="32"/>
      <c r="E95" s="33"/>
      <c r="F95" s="33"/>
      <c r="G95" s="33"/>
    </row>
    <row r="96" ht="15.75" customHeight="1">
      <c r="A96" s="34"/>
      <c r="B96" s="33"/>
      <c r="C96" s="33"/>
      <c r="D96" s="32"/>
      <c r="E96" s="33"/>
      <c r="F96" s="33"/>
      <c r="G96" s="33"/>
    </row>
    <row r="97" ht="15.75" customHeight="1">
      <c r="A97" s="34"/>
      <c r="B97" s="33"/>
      <c r="C97" s="33"/>
      <c r="D97" s="32"/>
      <c r="E97" s="33"/>
      <c r="F97" s="33"/>
      <c r="G97" s="33"/>
    </row>
    <row r="98" ht="15.75" customHeight="1">
      <c r="A98" s="34"/>
      <c r="B98" s="33"/>
      <c r="C98" s="33"/>
      <c r="D98" s="32"/>
      <c r="E98" s="33"/>
      <c r="F98" s="33"/>
      <c r="G98" s="33"/>
    </row>
    <row r="99" ht="15.75" customHeight="1">
      <c r="A99" s="34"/>
      <c r="B99" s="33"/>
      <c r="C99" s="33"/>
      <c r="D99" s="32"/>
      <c r="E99" s="33"/>
      <c r="F99" s="33"/>
      <c r="G99" s="33"/>
    </row>
    <row r="100" ht="15.75" customHeight="1">
      <c r="A100" s="34"/>
      <c r="B100" s="33"/>
      <c r="C100" s="33"/>
      <c r="D100" s="32"/>
      <c r="E100" s="33"/>
      <c r="F100" s="33"/>
      <c r="G100" s="33"/>
    </row>
    <row r="101" ht="15.75" customHeight="1">
      <c r="A101" s="34"/>
      <c r="B101" s="33"/>
      <c r="C101" s="33"/>
      <c r="D101" s="32"/>
      <c r="E101" s="33"/>
      <c r="F101" s="33"/>
      <c r="G101" s="33"/>
    </row>
    <row r="102" ht="15.75" customHeight="1">
      <c r="A102" s="34"/>
      <c r="B102" s="33"/>
      <c r="C102" s="33"/>
      <c r="D102" s="32"/>
      <c r="E102" s="33"/>
      <c r="F102" s="33"/>
      <c r="G102" s="33"/>
    </row>
    <row r="103" ht="15.75" customHeight="1">
      <c r="A103" s="34"/>
      <c r="B103" s="33"/>
      <c r="C103" s="33"/>
      <c r="D103" s="32"/>
      <c r="E103" s="33"/>
      <c r="F103" s="33"/>
      <c r="G103" s="33"/>
    </row>
    <row r="104" ht="15.75" customHeight="1">
      <c r="A104" s="34"/>
      <c r="B104" s="33"/>
      <c r="C104" s="33"/>
      <c r="D104" s="32"/>
      <c r="E104" s="33"/>
      <c r="F104" s="33"/>
      <c r="G104" s="33"/>
    </row>
    <row r="105" ht="15.75" customHeight="1">
      <c r="A105" s="34"/>
      <c r="B105" s="33"/>
      <c r="C105" s="33"/>
      <c r="D105" s="32"/>
      <c r="E105" s="33"/>
      <c r="F105" s="33"/>
      <c r="G105" s="33"/>
    </row>
    <row r="106" ht="15.75" customHeight="1">
      <c r="A106" s="34"/>
      <c r="B106" s="33"/>
      <c r="C106" s="33"/>
      <c r="D106" s="32"/>
      <c r="E106" s="33"/>
      <c r="F106" s="33"/>
      <c r="G106" s="33"/>
    </row>
    <row r="107" ht="15.75" customHeight="1">
      <c r="A107" s="34"/>
      <c r="B107" s="33"/>
      <c r="C107" s="33"/>
      <c r="D107" s="32"/>
      <c r="E107" s="33"/>
      <c r="F107" s="33"/>
      <c r="G107" s="33"/>
    </row>
    <row r="108" ht="15.75" customHeight="1">
      <c r="A108" s="34"/>
      <c r="B108" s="33"/>
      <c r="C108" s="33"/>
      <c r="D108" s="32"/>
      <c r="E108" s="33"/>
      <c r="F108" s="33"/>
      <c r="G108" s="33"/>
    </row>
    <row r="109" ht="15.75" customHeight="1">
      <c r="A109" s="34"/>
      <c r="B109" s="33"/>
      <c r="C109" s="33"/>
      <c r="D109" s="32"/>
      <c r="E109" s="33"/>
      <c r="F109" s="33"/>
      <c r="G109" s="33"/>
    </row>
    <row r="110" ht="15.75" customHeight="1">
      <c r="A110" s="34"/>
      <c r="B110" s="33"/>
      <c r="C110" s="33"/>
      <c r="D110" s="32"/>
      <c r="E110" s="33"/>
      <c r="F110" s="33"/>
      <c r="G110" s="33"/>
    </row>
    <row r="111" ht="15.75" customHeight="1">
      <c r="A111" s="34"/>
      <c r="B111" s="33"/>
      <c r="C111" s="33"/>
      <c r="D111" s="32"/>
      <c r="E111" s="33"/>
      <c r="F111" s="33"/>
      <c r="G111" s="33"/>
    </row>
    <row r="112" ht="15.75" customHeight="1">
      <c r="A112" s="34"/>
      <c r="B112" s="33"/>
      <c r="C112" s="33"/>
      <c r="D112" s="32"/>
      <c r="E112" s="33"/>
      <c r="F112" s="33"/>
      <c r="G112" s="33"/>
    </row>
    <row r="113" ht="15.75" customHeight="1">
      <c r="A113" s="34"/>
      <c r="B113" s="33"/>
      <c r="C113" s="33"/>
      <c r="D113" s="32"/>
      <c r="E113" s="33"/>
      <c r="F113" s="33"/>
      <c r="G113" s="33"/>
    </row>
    <row r="114" ht="15.75" customHeight="1">
      <c r="A114" s="34"/>
      <c r="B114" s="33"/>
      <c r="C114" s="33"/>
      <c r="D114" s="32"/>
      <c r="E114" s="33"/>
      <c r="F114" s="33"/>
      <c r="G114" s="33"/>
    </row>
    <row r="115" ht="15.75" customHeight="1">
      <c r="A115" s="34"/>
      <c r="B115" s="33"/>
      <c r="C115" s="33"/>
      <c r="D115" s="32"/>
      <c r="E115" s="33"/>
      <c r="F115" s="33"/>
      <c r="G115" s="33"/>
    </row>
    <row r="116" ht="15.75" customHeight="1">
      <c r="A116" s="34"/>
      <c r="B116" s="33"/>
      <c r="C116" s="33"/>
      <c r="D116" s="32"/>
      <c r="E116" s="33"/>
      <c r="F116" s="33"/>
      <c r="G116" s="33"/>
    </row>
    <row r="117" ht="15.75" customHeight="1">
      <c r="A117" s="34"/>
      <c r="B117" s="33"/>
      <c r="C117" s="33"/>
      <c r="D117" s="32"/>
      <c r="E117" s="33"/>
      <c r="F117" s="33"/>
      <c r="G117" s="33"/>
    </row>
    <row r="118" ht="15.75" customHeight="1">
      <c r="A118" s="34"/>
      <c r="B118" s="33"/>
      <c r="C118" s="33"/>
      <c r="D118" s="32"/>
      <c r="E118" s="33"/>
      <c r="F118" s="33"/>
      <c r="G118" s="33"/>
    </row>
    <row r="119" ht="15.75" customHeight="1">
      <c r="A119" s="34"/>
      <c r="B119" s="33"/>
      <c r="C119" s="33"/>
      <c r="D119" s="32"/>
      <c r="E119" s="33"/>
      <c r="F119" s="33"/>
      <c r="G119" s="33"/>
    </row>
    <row r="120" ht="15.75" customHeight="1">
      <c r="A120" s="34"/>
      <c r="B120" s="33"/>
      <c r="C120" s="33"/>
      <c r="D120" s="32"/>
      <c r="E120" s="33"/>
      <c r="F120" s="33"/>
      <c r="G120" s="33"/>
    </row>
    <row r="121" ht="15.75" customHeight="1">
      <c r="A121" s="34"/>
      <c r="B121" s="33"/>
      <c r="C121" s="33"/>
      <c r="D121" s="32"/>
      <c r="E121" s="33"/>
      <c r="F121" s="33"/>
      <c r="G121" s="33"/>
    </row>
    <row r="122" ht="15.75" customHeight="1">
      <c r="A122" s="34"/>
      <c r="B122" s="33"/>
      <c r="C122" s="33"/>
      <c r="D122" s="32"/>
      <c r="E122" s="33"/>
      <c r="F122" s="33"/>
      <c r="G122" s="33"/>
    </row>
    <row r="123" ht="15.75" customHeight="1">
      <c r="A123" s="34"/>
      <c r="B123" s="33"/>
      <c r="C123" s="33"/>
      <c r="D123" s="32"/>
      <c r="E123" s="33"/>
      <c r="F123" s="33"/>
      <c r="G123" s="33"/>
    </row>
    <row r="124" ht="15.75" customHeight="1">
      <c r="A124" s="34"/>
      <c r="B124" s="33"/>
      <c r="C124" s="33"/>
      <c r="D124" s="32"/>
      <c r="E124" s="33"/>
      <c r="F124" s="33"/>
      <c r="G124" s="33"/>
    </row>
    <row r="125" ht="15.75" customHeight="1">
      <c r="A125" s="34"/>
      <c r="B125" s="33"/>
      <c r="C125" s="33"/>
      <c r="D125" s="32"/>
      <c r="E125" s="33"/>
      <c r="F125" s="33"/>
      <c r="G125" s="33"/>
    </row>
    <row r="126" ht="15.75" customHeight="1">
      <c r="A126" s="34"/>
      <c r="B126" s="33"/>
      <c r="C126" s="33"/>
      <c r="D126" s="32"/>
      <c r="E126" s="33"/>
      <c r="F126" s="33"/>
      <c r="G126" s="33"/>
    </row>
    <row r="127" ht="15.75" customHeight="1">
      <c r="A127" s="34"/>
      <c r="B127" s="33"/>
      <c r="C127" s="33"/>
      <c r="D127" s="32"/>
      <c r="E127" s="33"/>
      <c r="F127" s="33"/>
      <c r="G127" s="33"/>
    </row>
    <row r="128" ht="15.75" customHeight="1">
      <c r="A128" s="34"/>
      <c r="B128" s="33"/>
      <c r="C128" s="33"/>
      <c r="D128" s="32"/>
      <c r="E128" s="33"/>
      <c r="F128" s="33"/>
      <c r="G128" s="33"/>
    </row>
    <row r="129" ht="15.75" customHeight="1">
      <c r="A129" s="34"/>
      <c r="B129" s="33"/>
      <c r="C129" s="33"/>
      <c r="D129" s="32"/>
      <c r="E129" s="33"/>
      <c r="F129" s="33"/>
      <c r="G129" s="33"/>
    </row>
    <row r="130" ht="15.75" customHeight="1">
      <c r="A130" s="34"/>
      <c r="B130" s="33"/>
      <c r="C130" s="33"/>
      <c r="D130" s="32"/>
      <c r="E130" s="33"/>
      <c r="F130" s="33"/>
      <c r="G130" s="33"/>
    </row>
    <row r="131" ht="15.75" customHeight="1">
      <c r="A131" s="34"/>
      <c r="B131" s="33"/>
      <c r="C131" s="33"/>
      <c r="D131" s="32"/>
      <c r="E131" s="33"/>
      <c r="F131" s="33"/>
      <c r="G131" s="33"/>
    </row>
    <row r="132" ht="15.75" customHeight="1">
      <c r="A132" s="34"/>
      <c r="B132" s="33"/>
      <c r="C132" s="33"/>
      <c r="D132" s="32"/>
      <c r="E132" s="33"/>
      <c r="F132" s="33"/>
      <c r="G132" s="33"/>
    </row>
    <row r="133" ht="15.75" customHeight="1">
      <c r="A133" s="34"/>
      <c r="B133" s="33"/>
      <c r="C133" s="33"/>
      <c r="D133" s="32"/>
      <c r="E133" s="33"/>
      <c r="F133" s="33"/>
      <c r="G133" s="33"/>
    </row>
    <row r="134" ht="15.75" customHeight="1">
      <c r="A134" s="34"/>
      <c r="B134" s="33"/>
      <c r="C134" s="33"/>
      <c r="D134" s="32"/>
      <c r="E134" s="33"/>
      <c r="F134" s="33"/>
      <c r="G134" s="33"/>
    </row>
    <row r="135" ht="15.75" customHeight="1">
      <c r="A135" s="34"/>
      <c r="B135" s="33"/>
      <c r="C135" s="33"/>
      <c r="D135" s="32"/>
      <c r="E135" s="33"/>
      <c r="F135" s="33"/>
      <c r="G135" s="33"/>
    </row>
    <row r="136" ht="15.75" customHeight="1">
      <c r="A136" s="34"/>
      <c r="B136" s="33"/>
      <c r="C136" s="33"/>
      <c r="D136" s="32"/>
      <c r="E136" s="33"/>
      <c r="F136" s="33"/>
      <c r="G136" s="33"/>
    </row>
    <row r="137" ht="15.75" customHeight="1">
      <c r="A137" s="34"/>
      <c r="B137" s="33"/>
      <c r="C137" s="33"/>
      <c r="D137" s="32"/>
      <c r="E137" s="33"/>
      <c r="F137" s="33"/>
      <c r="G137" s="33"/>
    </row>
    <row r="138" ht="15.75" customHeight="1">
      <c r="A138" s="34"/>
      <c r="B138" s="33"/>
      <c r="C138" s="33"/>
      <c r="D138" s="32"/>
      <c r="E138" s="33"/>
      <c r="F138" s="33"/>
      <c r="G138" s="33"/>
    </row>
    <row r="139" ht="15.75" customHeight="1">
      <c r="A139" s="34"/>
      <c r="B139" s="33"/>
      <c r="C139" s="33"/>
      <c r="D139" s="32"/>
      <c r="E139" s="33"/>
      <c r="F139" s="33"/>
      <c r="G139" s="33"/>
    </row>
    <row r="140" ht="15.75" customHeight="1">
      <c r="A140" s="34"/>
      <c r="B140" s="33"/>
      <c r="C140" s="33"/>
      <c r="D140" s="32"/>
      <c r="E140" s="33"/>
      <c r="F140" s="33"/>
      <c r="G140" s="33"/>
    </row>
    <row r="141" ht="15.75" customHeight="1">
      <c r="A141" s="34"/>
      <c r="B141" s="33"/>
      <c r="C141" s="33"/>
      <c r="D141" s="32"/>
      <c r="E141" s="33"/>
      <c r="F141" s="33"/>
      <c r="G141" s="33"/>
    </row>
    <row r="142" ht="15.75" customHeight="1">
      <c r="A142" s="34"/>
      <c r="B142" s="33"/>
      <c r="C142" s="33"/>
      <c r="D142" s="32"/>
      <c r="E142" s="33"/>
      <c r="F142" s="33"/>
      <c r="G142" s="33"/>
    </row>
    <row r="143" ht="15.75" customHeight="1">
      <c r="A143" s="34"/>
      <c r="B143" s="33"/>
      <c r="C143" s="33"/>
      <c r="D143" s="32"/>
      <c r="E143" s="33"/>
      <c r="F143" s="33"/>
      <c r="G143" s="33"/>
    </row>
    <row r="144" ht="15.75" customHeight="1">
      <c r="A144" s="34"/>
      <c r="B144" s="33"/>
      <c r="C144" s="33"/>
      <c r="D144" s="32"/>
      <c r="E144" s="33"/>
      <c r="F144" s="33"/>
      <c r="G144" s="33"/>
    </row>
    <row r="145" ht="15.75" customHeight="1">
      <c r="A145" s="34"/>
      <c r="B145" s="33"/>
      <c r="C145" s="33"/>
      <c r="D145" s="32"/>
      <c r="E145" s="33"/>
      <c r="F145" s="33"/>
      <c r="G145" s="33"/>
    </row>
    <row r="146" ht="15.75" customHeight="1">
      <c r="A146" s="34"/>
      <c r="B146" s="33"/>
      <c r="C146" s="33"/>
      <c r="D146" s="32"/>
      <c r="E146" s="33"/>
      <c r="F146" s="33"/>
      <c r="G146" s="33"/>
    </row>
    <row r="147" ht="15.75" customHeight="1">
      <c r="A147" s="34"/>
      <c r="B147" s="33"/>
      <c r="C147" s="33"/>
      <c r="D147" s="32"/>
      <c r="E147" s="33"/>
      <c r="F147" s="33"/>
      <c r="G147" s="33"/>
    </row>
    <row r="148" ht="15.75" customHeight="1">
      <c r="A148" s="34"/>
      <c r="B148" s="33"/>
      <c r="C148" s="33"/>
      <c r="D148" s="32"/>
      <c r="E148" s="33"/>
      <c r="F148" s="33"/>
      <c r="G148" s="33"/>
    </row>
    <row r="149" ht="15.75" customHeight="1">
      <c r="A149" s="34"/>
      <c r="B149" s="33"/>
      <c r="C149" s="33"/>
      <c r="D149" s="32"/>
      <c r="E149" s="33"/>
      <c r="F149" s="33"/>
      <c r="G149" s="33"/>
    </row>
    <row r="150" ht="15.75" customHeight="1">
      <c r="A150" s="34"/>
      <c r="B150" s="33"/>
      <c r="C150" s="33"/>
      <c r="D150" s="32"/>
      <c r="E150" s="33"/>
      <c r="F150" s="33"/>
      <c r="G150" s="33"/>
    </row>
    <row r="151" ht="15.75" customHeight="1">
      <c r="A151" s="34"/>
      <c r="B151" s="33"/>
      <c r="C151" s="33"/>
      <c r="D151" s="32"/>
      <c r="E151" s="33"/>
      <c r="F151" s="33"/>
      <c r="G151" s="33"/>
    </row>
    <row r="152" ht="15.75" customHeight="1">
      <c r="A152" s="34"/>
      <c r="B152" s="33"/>
      <c r="C152" s="33"/>
      <c r="D152" s="32"/>
      <c r="E152" s="33"/>
      <c r="F152" s="33"/>
      <c r="G152" s="33"/>
    </row>
    <row r="153" ht="15.75" customHeight="1">
      <c r="A153" s="34"/>
      <c r="B153" s="33"/>
      <c r="C153" s="33"/>
      <c r="D153" s="32"/>
      <c r="E153" s="33"/>
      <c r="F153" s="33"/>
      <c r="G153" s="33"/>
    </row>
    <row r="154" ht="15.75" customHeight="1">
      <c r="A154" s="34"/>
      <c r="B154" s="33"/>
      <c r="C154" s="33"/>
      <c r="D154" s="32"/>
      <c r="E154" s="33"/>
      <c r="F154" s="33"/>
      <c r="G154" s="33"/>
    </row>
    <row r="155" ht="15.75" customHeight="1">
      <c r="A155" s="34"/>
      <c r="B155" s="33"/>
      <c r="C155" s="33"/>
      <c r="D155" s="32"/>
      <c r="E155" s="33"/>
      <c r="F155" s="33"/>
      <c r="G155" s="33"/>
    </row>
    <row r="156" ht="15.75" customHeight="1">
      <c r="A156" s="34"/>
      <c r="B156" s="33"/>
      <c r="C156" s="33"/>
      <c r="D156" s="32"/>
      <c r="E156" s="33"/>
      <c r="F156" s="33"/>
      <c r="G156" s="33"/>
    </row>
    <row r="157" ht="15.75" customHeight="1">
      <c r="A157" s="34"/>
      <c r="B157" s="33"/>
      <c r="C157" s="33"/>
      <c r="D157" s="32"/>
      <c r="E157" s="33"/>
      <c r="F157" s="33"/>
      <c r="G157" s="33"/>
    </row>
    <row r="158" ht="15.75" customHeight="1">
      <c r="A158" s="34"/>
      <c r="B158" s="33"/>
      <c r="C158" s="33"/>
      <c r="D158" s="32"/>
      <c r="E158" s="33"/>
      <c r="F158" s="33"/>
      <c r="G158" s="33"/>
    </row>
    <row r="159" ht="15.75" customHeight="1">
      <c r="A159" s="34"/>
      <c r="B159" s="33"/>
      <c r="C159" s="33"/>
      <c r="D159" s="32"/>
      <c r="E159" s="33"/>
      <c r="F159" s="33"/>
      <c r="G159" s="33"/>
    </row>
    <row r="160" ht="15.75" customHeight="1">
      <c r="A160" s="34"/>
      <c r="B160" s="33"/>
      <c r="C160" s="33"/>
      <c r="D160" s="32"/>
      <c r="E160" s="33"/>
      <c r="F160" s="33"/>
      <c r="G160" s="33"/>
    </row>
    <row r="161" ht="15.75" customHeight="1">
      <c r="A161" s="34"/>
      <c r="B161" s="33"/>
      <c r="C161" s="33"/>
      <c r="D161" s="32"/>
      <c r="E161" s="33"/>
      <c r="F161" s="33"/>
      <c r="G161" s="33"/>
    </row>
    <row r="162" ht="15.75" customHeight="1">
      <c r="A162" s="34"/>
      <c r="B162" s="33"/>
      <c r="C162" s="33"/>
      <c r="D162" s="32"/>
      <c r="E162" s="33"/>
      <c r="F162" s="33"/>
      <c r="G162" s="33"/>
    </row>
    <row r="163" ht="15.75" customHeight="1">
      <c r="A163" s="34"/>
      <c r="B163" s="33"/>
      <c r="C163" s="33"/>
      <c r="D163" s="32"/>
      <c r="E163" s="33"/>
      <c r="F163" s="33"/>
      <c r="G163" s="33"/>
    </row>
    <row r="164" ht="15.75" customHeight="1">
      <c r="A164" s="34"/>
      <c r="B164" s="33"/>
      <c r="C164" s="33"/>
      <c r="D164" s="32"/>
      <c r="E164" s="33"/>
      <c r="F164" s="33"/>
      <c r="G164" s="33"/>
    </row>
    <row r="165" ht="15.75" customHeight="1">
      <c r="A165" s="34"/>
      <c r="B165" s="33"/>
      <c r="C165" s="33"/>
      <c r="D165" s="32"/>
      <c r="E165" s="33"/>
      <c r="F165" s="33"/>
      <c r="G165" s="33"/>
    </row>
    <row r="166" ht="15.75" customHeight="1">
      <c r="A166" s="34"/>
      <c r="B166" s="33"/>
      <c r="C166" s="33"/>
      <c r="D166" s="32"/>
      <c r="E166" s="33"/>
      <c r="F166" s="33"/>
      <c r="G166" s="33"/>
    </row>
    <row r="167" ht="15.75" customHeight="1">
      <c r="A167" s="34"/>
      <c r="B167" s="33"/>
      <c r="C167" s="33"/>
      <c r="D167" s="32"/>
      <c r="E167" s="33"/>
      <c r="F167" s="33"/>
      <c r="G167" s="33"/>
    </row>
    <row r="168" ht="15.75" customHeight="1">
      <c r="A168" s="34"/>
      <c r="B168" s="33"/>
      <c r="C168" s="33"/>
      <c r="D168" s="32"/>
      <c r="E168" s="33"/>
      <c r="F168" s="33"/>
      <c r="G168" s="33"/>
    </row>
    <row r="169" ht="15.75" customHeight="1">
      <c r="A169" s="34"/>
      <c r="B169" s="33"/>
      <c r="C169" s="33"/>
      <c r="D169" s="32"/>
      <c r="E169" s="33"/>
      <c r="F169" s="33"/>
      <c r="G169" s="33"/>
    </row>
    <row r="170" ht="15.75" customHeight="1">
      <c r="A170" s="34"/>
      <c r="B170" s="33"/>
      <c r="C170" s="33"/>
      <c r="D170" s="32"/>
      <c r="E170" s="33"/>
      <c r="F170" s="33"/>
      <c r="G170" s="33"/>
    </row>
    <row r="171" ht="15.75" customHeight="1">
      <c r="A171" s="34"/>
      <c r="B171" s="33"/>
      <c r="C171" s="33"/>
      <c r="D171" s="32"/>
      <c r="E171" s="33"/>
      <c r="F171" s="33"/>
      <c r="G171" s="33"/>
    </row>
    <row r="172" ht="15.75" customHeight="1">
      <c r="A172" s="34"/>
      <c r="B172" s="33"/>
      <c r="C172" s="33"/>
      <c r="D172" s="32"/>
      <c r="E172" s="33"/>
      <c r="F172" s="33"/>
      <c r="G172" s="33"/>
    </row>
    <row r="173" ht="15.75" customHeight="1">
      <c r="A173" s="34"/>
      <c r="B173" s="33"/>
      <c r="C173" s="33"/>
      <c r="D173" s="32"/>
      <c r="E173" s="33"/>
      <c r="F173" s="33"/>
      <c r="G173" s="33"/>
    </row>
    <row r="174" ht="15.75" customHeight="1">
      <c r="A174" s="34"/>
      <c r="B174" s="33"/>
      <c r="C174" s="33"/>
      <c r="D174" s="32"/>
      <c r="E174" s="33"/>
      <c r="F174" s="33"/>
      <c r="G174" s="33"/>
    </row>
    <row r="175" ht="15.75" customHeight="1">
      <c r="A175" s="34"/>
      <c r="B175" s="33"/>
      <c r="C175" s="33"/>
      <c r="D175" s="32"/>
      <c r="E175" s="33"/>
      <c r="F175" s="33"/>
      <c r="G175" s="33"/>
    </row>
    <row r="176" ht="15.75" customHeight="1">
      <c r="A176" s="34"/>
      <c r="B176" s="33"/>
      <c r="C176" s="33"/>
      <c r="D176" s="32"/>
      <c r="E176" s="33"/>
      <c r="F176" s="33"/>
      <c r="G176" s="33"/>
    </row>
    <row r="177" ht="15.75" customHeight="1">
      <c r="A177" s="34"/>
      <c r="B177" s="33"/>
      <c r="C177" s="33"/>
      <c r="D177" s="32"/>
      <c r="E177" s="33"/>
      <c r="F177" s="33"/>
      <c r="G177" s="33"/>
    </row>
    <row r="178" ht="15.75" customHeight="1">
      <c r="A178" s="34"/>
      <c r="B178" s="33"/>
      <c r="C178" s="33"/>
      <c r="D178" s="32"/>
      <c r="E178" s="33"/>
      <c r="F178" s="33"/>
      <c r="G178" s="33"/>
    </row>
    <row r="179" ht="15.75" customHeight="1">
      <c r="A179" s="34"/>
      <c r="B179" s="33"/>
      <c r="C179" s="33"/>
      <c r="D179" s="32"/>
      <c r="E179" s="33"/>
      <c r="F179" s="33"/>
      <c r="G179" s="33"/>
    </row>
    <row r="180" ht="15.75" customHeight="1">
      <c r="A180" s="34"/>
      <c r="B180" s="33"/>
      <c r="C180" s="33"/>
      <c r="D180" s="32"/>
      <c r="E180" s="33"/>
      <c r="F180" s="33"/>
      <c r="G180" s="33"/>
    </row>
    <row r="181" ht="15.75" customHeight="1">
      <c r="A181" s="34"/>
      <c r="B181" s="33"/>
      <c r="C181" s="33"/>
      <c r="D181" s="32"/>
      <c r="E181" s="33"/>
      <c r="F181" s="33"/>
      <c r="G181" s="33"/>
    </row>
    <row r="182" ht="15.75" customHeight="1">
      <c r="A182" s="34"/>
      <c r="B182" s="33"/>
      <c r="C182" s="33"/>
      <c r="D182" s="32"/>
      <c r="E182" s="33"/>
      <c r="F182" s="33"/>
      <c r="G182" s="33"/>
    </row>
    <row r="183" ht="15.75" customHeight="1">
      <c r="A183" s="34"/>
      <c r="B183" s="33"/>
      <c r="C183" s="33"/>
      <c r="D183" s="32"/>
      <c r="E183" s="33"/>
      <c r="F183" s="33"/>
      <c r="G183" s="33"/>
    </row>
    <row r="184" ht="15.75" customHeight="1">
      <c r="A184" s="34"/>
      <c r="B184" s="33"/>
      <c r="C184" s="33"/>
      <c r="D184" s="32"/>
      <c r="E184" s="33"/>
      <c r="F184" s="33"/>
      <c r="G184" s="33"/>
    </row>
    <row r="185" ht="15.75" customHeight="1">
      <c r="A185" s="34"/>
      <c r="B185" s="33"/>
      <c r="C185" s="33"/>
      <c r="D185" s="32"/>
      <c r="E185" s="33"/>
      <c r="F185" s="33"/>
      <c r="G185" s="33"/>
    </row>
    <row r="186" ht="15.75" customHeight="1">
      <c r="A186" s="34"/>
      <c r="B186" s="33"/>
      <c r="C186" s="33"/>
      <c r="D186" s="32"/>
      <c r="E186" s="33"/>
      <c r="F186" s="33"/>
      <c r="G186" s="33"/>
    </row>
    <row r="187" ht="15.75" customHeight="1">
      <c r="A187" s="34"/>
      <c r="B187" s="33"/>
      <c r="C187" s="33"/>
      <c r="D187" s="32"/>
      <c r="E187" s="33"/>
      <c r="F187" s="33"/>
      <c r="G187" s="33"/>
    </row>
    <row r="188" ht="15.75" customHeight="1">
      <c r="A188" s="34"/>
      <c r="B188" s="33"/>
      <c r="C188" s="33"/>
      <c r="D188" s="32"/>
      <c r="E188" s="33"/>
      <c r="F188" s="33"/>
      <c r="G188" s="33"/>
    </row>
    <row r="189" ht="15.75" customHeight="1">
      <c r="A189" s="34"/>
      <c r="B189" s="33"/>
      <c r="C189" s="33"/>
      <c r="D189" s="32"/>
      <c r="E189" s="33"/>
      <c r="F189" s="33"/>
      <c r="G189" s="33"/>
    </row>
    <row r="190" ht="15.75" customHeight="1">
      <c r="A190" s="34"/>
      <c r="B190" s="33"/>
      <c r="C190" s="33"/>
      <c r="D190" s="32"/>
      <c r="E190" s="33"/>
      <c r="F190" s="33"/>
      <c r="G190" s="33"/>
    </row>
    <row r="191" ht="15.75" customHeight="1">
      <c r="A191" s="34"/>
      <c r="B191" s="33"/>
      <c r="C191" s="33"/>
      <c r="D191" s="32"/>
      <c r="E191" s="33"/>
      <c r="F191" s="33"/>
      <c r="G191" s="33"/>
    </row>
    <row r="192" ht="15.75" customHeight="1">
      <c r="A192" s="34"/>
      <c r="B192" s="33"/>
      <c r="C192" s="33"/>
      <c r="D192" s="32"/>
      <c r="E192" s="33"/>
      <c r="F192" s="33"/>
      <c r="G192" s="33"/>
    </row>
    <row r="193" ht="15.75" customHeight="1">
      <c r="A193" s="34"/>
      <c r="B193" s="33"/>
      <c r="C193" s="33"/>
      <c r="D193" s="32"/>
      <c r="E193" s="33"/>
      <c r="F193" s="33"/>
      <c r="G193" s="33"/>
    </row>
    <row r="194" ht="15.75" customHeight="1">
      <c r="A194" s="34"/>
      <c r="B194" s="33"/>
      <c r="C194" s="33"/>
      <c r="D194" s="32"/>
      <c r="E194" s="33"/>
      <c r="F194" s="33"/>
      <c r="G194" s="33"/>
    </row>
    <row r="195" ht="15.75" customHeight="1">
      <c r="A195" s="34"/>
      <c r="B195" s="33"/>
      <c r="C195" s="33"/>
      <c r="D195" s="32"/>
      <c r="E195" s="33"/>
      <c r="F195" s="33"/>
      <c r="G195" s="33"/>
    </row>
    <row r="196" ht="15.75" customHeight="1">
      <c r="A196" s="34"/>
      <c r="B196" s="33"/>
      <c r="C196" s="33"/>
      <c r="D196" s="32"/>
      <c r="E196" s="33"/>
      <c r="F196" s="33"/>
      <c r="G196" s="33"/>
    </row>
    <row r="197" ht="15.75" customHeight="1">
      <c r="A197" s="34"/>
      <c r="B197" s="33"/>
      <c r="C197" s="33"/>
      <c r="D197" s="32"/>
      <c r="E197" s="33"/>
      <c r="F197" s="33"/>
      <c r="G197" s="33"/>
    </row>
    <row r="198" ht="15.75" customHeight="1">
      <c r="A198" s="34"/>
      <c r="B198" s="33"/>
      <c r="C198" s="33"/>
      <c r="D198" s="32"/>
      <c r="E198" s="33"/>
      <c r="F198" s="33"/>
      <c r="G198" s="33"/>
    </row>
    <row r="199" ht="15.75" customHeight="1">
      <c r="A199" s="34"/>
      <c r="B199" s="33"/>
      <c r="C199" s="33"/>
      <c r="D199" s="32"/>
      <c r="E199" s="33"/>
      <c r="F199" s="33"/>
      <c r="G199" s="33"/>
    </row>
    <row r="200" ht="15.75" customHeight="1">
      <c r="A200" s="34"/>
      <c r="B200" s="33"/>
      <c r="C200" s="33"/>
      <c r="D200" s="32"/>
      <c r="E200" s="33"/>
      <c r="F200" s="33"/>
      <c r="G200" s="33"/>
    </row>
    <row r="201" ht="15.75" customHeight="1">
      <c r="A201" s="34"/>
      <c r="B201" s="33"/>
      <c r="C201" s="33"/>
      <c r="D201" s="32"/>
      <c r="E201" s="33"/>
      <c r="F201" s="33"/>
      <c r="G201" s="33"/>
    </row>
    <row r="202" ht="15.75" customHeight="1">
      <c r="A202" s="34"/>
      <c r="B202" s="33"/>
      <c r="C202" s="33"/>
      <c r="D202" s="32"/>
      <c r="E202" s="33"/>
      <c r="F202" s="33"/>
      <c r="G202" s="33"/>
    </row>
    <row r="203" ht="15.75" customHeight="1">
      <c r="A203" s="34"/>
      <c r="B203" s="33"/>
      <c r="C203" s="33"/>
      <c r="D203" s="32"/>
      <c r="E203" s="33"/>
      <c r="F203" s="33"/>
      <c r="G203" s="33"/>
    </row>
    <row r="204" ht="15.75" customHeight="1">
      <c r="A204" s="34"/>
      <c r="B204" s="33"/>
      <c r="C204" s="33"/>
      <c r="D204" s="32"/>
      <c r="E204" s="33"/>
      <c r="F204" s="33"/>
      <c r="G204" s="33"/>
    </row>
    <row r="205" ht="15.75" customHeight="1">
      <c r="A205" s="34"/>
      <c r="B205" s="33"/>
      <c r="C205" s="33"/>
      <c r="D205" s="32"/>
      <c r="E205" s="33"/>
      <c r="F205" s="33"/>
      <c r="G205" s="33"/>
    </row>
    <row r="206" ht="15.75" customHeight="1">
      <c r="A206" s="34"/>
      <c r="B206" s="33"/>
      <c r="C206" s="33"/>
      <c r="D206" s="32"/>
      <c r="E206" s="33"/>
      <c r="F206" s="33"/>
      <c r="G206" s="33"/>
    </row>
    <row r="207" ht="15.75" customHeight="1">
      <c r="A207" s="34"/>
      <c r="B207" s="33"/>
      <c r="C207" s="33"/>
      <c r="D207" s="32"/>
      <c r="E207" s="33"/>
      <c r="F207" s="33"/>
      <c r="G207" s="33"/>
    </row>
    <row r="208" ht="15.75" customHeight="1">
      <c r="A208" s="34"/>
      <c r="B208" s="33"/>
      <c r="C208" s="33"/>
      <c r="D208" s="32"/>
      <c r="E208" s="33"/>
      <c r="F208" s="33"/>
      <c r="G208" s="33"/>
    </row>
    <row r="209" ht="15.75" customHeight="1">
      <c r="A209" s="34"/>
      <c r="B209" s="33"/>
      <c r="C209" s="33"/>
      <c r="D209" s="32"/>
      <c r="E209" s="33"/>
      <c r="F209" s="33"/>
      <c r="G209" s="33"/>
    </row>
    <row r="210" ht="15.75" customHeight="1">
      <c r="A210" s="34"/>
      <c r="B210" s="33"/>
      <c r="C210" s="33"/>
      <c r="D210" s="32"/>
      <c r="E210" s="33"/>
      <c r="F210" s="33"/>
      <c r="G210" s="33"/>
    </row>
    <row r="211" ht="15.75" customHeight="1">
      <c r="A211" s="34"/>
      <c r="B211" s="33"/>
      <c r="C211" s="33"/>
      <c r="D211" s="32"/>
      <c r="E211" s="33"/>
      <c r="F211" s="33"/>
      <c r="G211" s="33"/>
    </row>
    <row r="212" ht="15.75" customHeight="1">
      <c r="A212" s="34"/>
      <c r="B212" s="33"/>
      <c r="C212" s="33"/>
      <c r="D212" s="32"/>
      <c r="E212" s="33"/>
      <c r="F212" s="33"/>
      <c r="G212" s="33"/>
    </row>
    <row r="213" ht="15.75" customHeight="1">
      <c r="A213" s="34"/>
      <c r="B213" s="33"/>
      <c r="C213" s="33"/>
      <c r="D213" s="32"/>
      <c r="E213" s="33"/>
      <c r="F213" s="33"/>
      <c r="G213" s="33"/>
    </row>
    <row r="214" ht="15.75" customHeight="1">
      <c r="A214" s="34"/>
      <c r="B214" s="33"/>
      <c r="C214" s="33"/>
      <c r="D214" s="32"/>
      <c r="E214" s="33"/>
      <c r="F214" s="33"/>
      <c r="G214" s="33"/>
    </row>
    <row r="215" ht="15.75" customHeight="1">
      <c r="A215" s="34"/>
      <c r="B215" s="33"/>
      <c r="C215" s="33"/>
      <c r="D215" s="32"/>
      <c r="E215" s="33"/>
      <c r="F215" s="33"/>
      <c r="G215" s="33"/>
    </row>
    <row r="216" ht="15.75" customHeight="1">
      <c r="A216" s="34"/>
      <c r="B216" s="33"/>
      <c r="C216" s="33"/>
      <c r="D216" s="32"/>
      <c r="E216" s="33"/>
      <c r="F216" s="33"/>
      <c r="G216" s="33"/>
    </row>
    <row r="217" ht="15.75" customHeight="1">
      <c r="A217" s="34"/>
      <c r="B217" s="33"/>
      <c r="C217" s="33"/>
      <c r="D217" s="32"/>
      <c r="E217" s="33"/>
      <c r="F217" s="33"/>
      <c r="G217" s="33"/>
    </row>
    <row r="218" ht="15.75" customHeight="1">
      <c r="A218" s="34"/>
      <c r="B218" s="33"/>
      <c r="C218" s="33"/>
      <c r="D218" s="32"/>
      <c r="E218" s="33"/>
      <c r="F218" s="33"/>
      <c r="G218" s="33"/>
    </row>
    <row r="219" ht="15.75" customHeight="1">
      <c r="A219" s="34"/>
      <c r="B219" s="33"/>
      <c r="C219" s="33"/>
      <c r="D219" s="32"/>
      <c r="E219" s="33"/>
      <c r="F219" s="33"/>
      <c r="G219" s="33"/>
    </row>
    <row r="220" ht="15.75" customHeight="1">
      <c r="A220" s="34"/>
      <c r="B220" s="33"/>
      <c r="C220" s="33"/>
      <c r="D220" s="32"/>
      <c r="E220" s="33"/>
      <c r="F220" s="33"/>
      <c r="G220" s="33"/>
    </row>
    <row r="221" ht="15.75" customHeight="1">
      <c r="A221" s="34"/>
      <c r="B221" s="33"/>
      <c r="C221" s="33"/>
      <c r="D221" s="32"/>
      <c r="E221" s="33"/>
      <c r="F221" s="33"/>
      <c r="G221" s="33"/>
    </row>
    <row r="222" ht="15.75" customHeight="1">
      <c r="A222" s="34"/>
      <c r="B222" s="33"/>
      <c r="C222" s="33"/>
      <c r="D222" s="32"/>
      <c r="E222" s="33"/>
      <c r="F222" s="33"/>
      <c r="G222" s="33"/>
    </row>
    <row r="223" ht="15.75" customHeight="1">
      <c r="A223" s="34"/>
      <c r="B223" s="33"/>
      <c r="C223" s="33"/>
      <c r="D223" s="32"/>
      <c r="E223" s="33"/>
      <c r="F223" s="33"/>
      <c r="G223" s="33"/>
    </row>
    <row r="224" ht="15.75" customHeight="1">
      <c r="A224" s="34"/>
      <c r="B224" s="33"/>
      <c r="C224" s="33"/>
      <c r="D224" s="32"/>
      <c r="E224" s="33"/>
      <c r="F224" s="33"/>
      <c r="G224" s="33"/>
    </row>
    <row r="225" ht="15.75" customHeight="1">
      <c r="A225" s="34"/>
      <c r="B225" s="33"/>
      <c r="C225" s="33"/>
      <c r="D225" s="32"/>
      <c r="E225" s="33"/>
      <c r="F225" s="33"/>
      <c r="G225" s="33"/>
    </row>
    <row r="226" ht="15.75" customHeight="1">
      <c r="A226" s="34"/>
      <c r="B226" s="33"/>
      <c r="C226" s="33"/>
      <c r="D226" s="32"/>
      <c r="E226" s="33"/>
      <c r="F226" s="33"/>
      <c r="G226" s="33"/>
    </row>
    <row r="227" ht="15.75" customHeight="1">
      <c r="A227" s="34"/>
      <c r="B227" s="33"/>
      <c r="C227" s="33"/>
      <c r="D227" s="32"/>
      <c r="E227" s="33"/>
      <c r="F227" s="33"/>
      <c r="G227" s="33"/>
    </row>
    <row r="228" ht="15.75" customHeight="1">
      <c r="A228" s="34"/>
      <c r="B228" s="33"/>
      <c r="C228" s="33"/>
      <c r="D228" s="32"/>
      <c r="E228" s="33"/>
      <c r="F228" s="33"/>
      <c r="G228" s="33"/>
    </row>
    <row r="229" ht="15.75" customHeight="1">
      <c r="A229" s="34"/>
      <c r="B229" s="33"/>
      <c r="C229" s="33"/>
      <c r="D229" s="32"/>
      <c r="E229" s="33"/>
      <c r="F229" s="33"/>
      <c r="G229" s="33"/>
    </row>
    <row r="230" ht="15.75" customHeight="1">
      <c r="A230" s="34"/>
      <c r="B230" s="33"/>
      <c r="C230" s="33"/>
      <c r="D230" s="32"/>
      <c r="E230" s="33"/>
      <c r="F230" s="33"/>
      <c r="G230" s="33"/>
    </row>
    <row r="231" ht="15.75" customHeight="1">
      <c r="A231" s="34"/>
      <c r="B231" s="33"/>
      <c r="C231" s="33"/>
      <c r="D231" s="32"/>
      <c r="E231" s="33"/>
      <c r="F231" s="33"/>
      <c r="G231" s="33"/>
    </row>
    <row r="232" ht="15.75" customHeight="1">
      <c r="A232" s="34"/>
      <c r="B232" s="33"/>
      <c r="C232" s="33"/>
      <c r="D232" s="32"/>
      <c r="E232" s="33"/>
      <c r="F232" s="33"/>
      <c r="G232" s="33"/>
    </row>
    <row r="233" ht="15.75" customHeight="1">
      <c r="A233" s="34"/>
      <c r="B233" s="33"/>
      <c r="C233" s="33"/>
      <c r="D233" s="32"/>
      <c r="E233" s="33"/>
      <c r="F233" s="33"/>
      <c r="G233" s="33"/>
    </row>
    <row r="234" ht="15.75" customHeight="1">
      <c r="A234" s="34"/>
      <c r="B234" s="33"/>
      <c r="C234" s="33"/>
      <c r="D234" s="32"/>
      <c r="E234" s="33"/>
      <c r="F234" s="33"/>
      <c r="G234" s="33"/>
    </row>
    <row r="235" ht="15.75" customHeight="1">
      <c r="A235" s="34"/>
      <c r="B235" s="33"/>
      <c r="C235" s="33"/>
      <c r="D235" s="32"/>
      <c r="E235" s="33"/>
      <c r="F235" s="33"/>
      <c r="G235" s="33"/>
    </row>
    <row r="236" ht="15.75" customHeight="1">
      <c r="A236" s="34"/>
      <c r="B236" s="33"/>
      <c r="C236" s="33"/>
      <c r="D236" s="32"/>
      <c r="E236" s="33"/>
      <c r="F236" s="33"/>
      <c r="G236" s="33"/>
    </row>
    <row r="237" ht="15.75" customHeight="1">
      <c r="A237" s="34"/>
      <c r="B237" s="33"/>
      <c r="C237" s="33"/>
      <c r="D237" s="32"/>
      <c r="E237" s="33"/>
      <c r="F237" s="33"/>
      <c r="G237" s="33"/>
    </row>
    <row r="238" ht="15.75" customHeight="1">
      <c r="A238" s="34"/>
      <c r="B238" s="33"/>
      <c r="C238" s="33"/>
      <c r="D238" s="32"/>
      <c r="E238" s="33"/>
      <c r="F238" s="33"/>
      <c r="G238" s="33"/>
    </row>
    <row r="239" ht="15.75" customHeight="1">
      <c r="A239" s="34"/>
      <c r="B239" s="33"/>
      <c r="C239" s="33"/>
      <c r="D239" s="32"/>
      <c r="E239" s="33"/>
      <c r="F239" s="33"/>
      <c r="G239" s="33"/>
    </row>
    <row r="240" ht="15.75" customHeight="1">
      <c r="A240" s="34"/>
      <c r="B240" s="33"/>
      <c r="C240" s="33"/>
      <c r="D240" s="32"/>
      <c r="E240" s="33"/>
      <c r="F240" s="33"/>
      <c r="G240" s="33"/>
    </row>
    <row r="241" ht="15.75" customHeight="1">
      <c r="A241" s="34"/>
      <c r="B241" s="33"/>
      <c r="C241" s="33"/>
      <c r="D241" s="32"/>
      <c r="E241" s="33"/>
      <c r="F241" s="33"/>
      <c r="G241" s="33"/>
    </row>
    <row r="242" ht="15.75" customHeight="1">
      <c r="A242" s="34"/>
      <c r="B242" s="33"/>
      <c r="C242" s="33"/>
      <c r="D242" s="32"/>
      <c r="E242" s="33"/>
      <c r="F242" s="33"/>
      <c r="G242" s="33"/>
    </row>
    <row r="243" ht="15.75" customHeight="1">
      <c r="A243" s="34"/>
      <c r="B243" s="33"/>
      <c r="C243" s="33"/>
      <c r="D243" s="32"/>
      <c r="E243" s="33"/>
      <c r="F243" s="33"/>
      <c r="G243" s="33"/>
    </row>
    <row r="244" ht="15.75" customHeight="1">
      <c r="A244" s="34"/>
      <c r="B244" s="33"/>
      <c r="C244" s="33"/>
      <c r="D244" s="32"/>
      <c r="E244" s="33"/>
      <c r="F244" s="33"/>
      <c r="G244" s="33"/>
    </row>
    <row r="245" ht="15.75" customHeight="1">
      <c r="A245" s="34"/>
      <c r="B245" s="33"/>
      <c r="C245" s="33"/>
      <c r="D245" s="32"/>
      <c r="E245" s="33"/>
      <c r="F245" s="33"/>
      <c r="G245" s="33"/>
    </row>
    <row r="246" ht="15.75" customHeight="1">
      <c r="A246" s="34"/>
      <c r="B246" s="33"/>
      <c r="C246" s="33"/>
      <c r="D246" s="32"/>
      <c r="E246" s="33"/>
      <c r="F246" s="33"/>
      <c r="G246" s="33"/>
    </row>
    <row r="247" ht="15.75" customHeight="1">
      <c r="A247" s="34"/>
      <c r="B247" s="33"/>
      <c r="C247" s="33"/>
      <c r="D247" s="32"/>
      <c r="E247" s="33"/>
      <c r="F247" s="33"/>
      <c r="G247" s="33"/>
    </row>
    <row r="248" ht="15.75" customHeight="1">
      <c r="A248" s="34"/>
      <c r="B248" s="33"/>
      <c r="C248" s="33"/>
      <c r="D248" s="32"/>
      <c r="E248" s="33"/>
      <c r="F248" s="33"/>
      <c r="G248" s="33"/>
    </row>
    <row r="249" ht="15.75" customHeight="1">
      <c r="A249" s="34"/>
      <c r="B249" s="33"/>
      <c r="C249" s="33"/>
      <c r="D249" s="32"/>
      <c r="E249" s="33"/>
      <c r="F249" s="33"/>
      <c r="G249" s="33"/>
    </row>
    <row r="250" ht="15.75" customHeight="1">
      <c r="A250" s="34"/>
      <c r="B250" s="33"/>
      <c r="C250" s="33"/>
      <c r="D250" s="32"/>
      <c r="E250" s="33"/>
      <c r="F250" s="33"/>
      <c r="G250" s="33"/>
    </row>
    <row r="251" ht="15.75" customHeight="1">
      <c r="A251" s="34"/>
      <c r="B251" s="33"/>
      <c r="C251" s="33"/>
      <c r="D251" s="32"/>
      <c r="E251" s="33"/>
      <c r="F251" s="33"/>
      <c r="G251" s="33"/>
    </row>
    <row r="252" ht="15.75" customHeight="1">
      <c r="A252" s="34"/>
      <c r="B252" s="33"/>
      <c r="C252" s="33"/>
      <c r="D252" s="32"/>
      <c r="E252" s="33"/>
      <c r="F252" s="33"/>
      <c r="G252" s="33"/>
    </row>
    <row r="253" ht="15.75" customHeight="1">
      <c r="A253" s="34"/>
      <c r="B253" s="33"/>
      <c r="C253" s="33"/>
      <c r="D253" s="32"/>
      <c r="E253" s="33"/>
      <c r="F253" s="33"/>
      <c r="G253" s="33"/>
    </row>
    <row r="254" ht="15.75" customHeight="1">
      <c r="A254" s="34"/>
      <c r="B254" s="33"/>
      <c r="C254" s="33"/>
      <c r="D254" s="32"/>
      <c r="E254" s="33"/>
      <c r="F254" s="33"/>
      <c r="G254" s="33"/>
    </row>
    <row r="255" ht="15.75" customHeight="1">
      <c r="A255" s="34"/>
      <c r="B255" s="33"/>
      <c r="C255" s="33"/>
      <c r="D255" s="32"/>
      <c r="E255" s="33"/>
      <c r="F255" s="33"/>
      <c r="G255" s="33"/>
    </row>
    <row r="256" ht="15.75" customHeight="1">
      <c r="A256" s="34"/>
      <c r="B256" s="33"/>
      <c r="C256" s="33"/>
      <c r="D256" s="32"/>
      <c r="E256" s="33"/>
      <c r="F256" s="33"/>
      <c r="G256" s="33"/>
    </row>
    <row r="257" ht="15.75" customHeight="1">
      <c r="A257" s="34"/>
      <c r="B257" s="33"/>
      <c r="C257" s="33"/>
      <c r="D257" s="32"/>
      <c r="E257" s="33"/>
      <c r="F257" s="33"/>
      <c r="G257" s="33"/>
    </row>
    <row r="258" ht="15.75" customHeight="1">
      <c r="A258" s="34"/>
      <c r="B258" s="33"/>
      <c r="C258" s="33"/>
      <c r="D258" s="32"/>
      <c r="E258" s="33"/>
      <c r="F258" s="33"/>
      <c r="G258" s="33"/>
    </row>
    <row r="259" ht="15.75" customHeight="1">
      <c r="A259" s="34"/>
      <c r="B259" s="33"/>
      <c r="C259" s="33"/>
      <c r="D259" s="32"/>
      <c r="E259" s="33"/>
      <c r="F259" s="33"/>
      <c r="G259" s="33"/>
    </row>
    <row r="260" ht="15.75" customHeight="1">
      <c r="A260" s="34"/>
      <c r="B260" s="33"/>
      <c r="C260" s="33"/>
      <c r="D260" s="32"/>
      <c r="E260" s="33"/>
      <c r="F260" s="33"/>
      <c r="G260" s="33"/>
    </row>
    <row r="261" ht="15.75" customHeight="1">
      <c r="A261" s="34"/>
      <c r="B261" s="33"/>
      <c r="C261" s="33"/>
      <c r="D261" s="32"/>
      <c r="E261" s="33"/>
      <c r="F261" s="33"/>
      <c r="G261" s="33"/>
    </row>
    <row r="262" ht="15.75" customHeight="1">
      <c r="A262" s="34"/>
      <c r="B262" s="33"/>
      <c r="C262" s="33"/>
      <c r="D262" s="32"/>
      <c r="E262" s="33"/>
      <c r="F262" s="33"/>
      <c r="G262" s="33"/>
    </row>
    <row r="263" ht="15.75" customHeight="1">
      <c r="A263" s="34"/>
      <c r="B263" s="33"/>
      <c r="C263" s="33"/>
      <c r="D263" s="32"/>
      <c r="E263" s="33"/>
      <c r="F263" s="33"/>
      <c r="G263" s="33"/>
    </row>
    <row r="264" ht="15.75" customHeight="1">
      <c r="A264" s="34"/>
      <c r="B264" s="33"/>
      <c r="C264" s="33"/>
      <c r="D264" s="32"/>
      <c r="E264" s="33"/>
      <c r="F264" s="33"/>
      <c r="G264" s="33"/>
    </row>
    <row r="265" ht="15.75" customHeight="1">
      <c r="A265" s="34"/>
      <c r="B265" s="33"/>
      <c r="C265" s="33"/>
      <c r="D265" s="32"/>
      <c r="E265" s="33"/>
      <c r="F265" s="33"/>
      <c r="G265" s="33"/>
    </row>
    <row r="266" ht="15.75" customHeight="1">
      <c r="A266" s="34"/>
      <c r="B266" s="33"/>
      <c r="C266" s="33"/>
      <c r="D266" s="32"/>
      <c r="E266" s="33"/>
      <c r="F266" s="33"/>
      <c r="G266" s="33"/>
    </row>
    <row r="267" ht="15.75" customHeight="1">
      <c r="A267" s="34"/>
      <c r="B267" s="33"/>
      <c r="C267" s="33"/>
      <c r="D267" s="32"/>
      <c r="E267" s="33"/>
      <c r="F267" s="33"/>
      <c r="G267" s="33"/>
    </row>
    <row r="268" ht="15.75" customHeight="1">
      <c r="A268" s="34"/>
      <c r="B268" s="33"/>
      <c r="C268" s="33"/>
      <c r="D268" s="32"/>
      <c r="E268" s="33"/>
      <c r="F268" s="33"/>
      <c r="G268" s="33"/>
    </row>
    <row r="269" ht="15.75" customHeight="1">
      <c r="A269" s="34"/>
      <c r="B269" s="33"/>
      <c r="C269" s="33"/>
      <c r="D269" s="32"/>
      <c r="E269" s="33"/>
      <c r="F269" s="33"/>
      <c r="G269" s="33"/>
    </row>
    <row r="270" ht="15.75" customHeight="1">
      <c r="A270" s="34"/>
      <c r="B270" s="33"/>
      <c r="C270" s="33"/>
      <c r="D270" s="32"/>
      <c r="E270" s="33"/>
      <c r="F270" s="33"/>
      <c r="G270" s="33"/>
    </row>
    <row r="271" ht="15.75" customHeight="1">
      <c r="A271" s="34"/>
      <c r="B271" s="33"/>
      <c r="C271" s="33"/>
      <c r="D271" s="32"/>
      <c r="E271" s="33"/>
      <c r="F271" s="33"/>
      <c r="G271" s="33"/>
    </row>
    <row r="272" ht="15.75" customHeight="1">
      <c r="A272" s="34"/>
      <c r="B272" s="33"/>
      <c r="C272" s="33"/>
      <c r="D272" s="32"/>
      <c r="E272" s="33"/>
      <c r="F272" s="33"/>
      <c r="G272" s="33"/>
    </row>
    <row r="273" ht="15.75" customHeight="1">
      <c r="A273" s="34"/>
      <c r="B273" s="33"/>
      <c r="C273" s="33"/>
      <c r="D273" s="32"/>
      <c r="E273" s="33"/>
      <c r="F273" s="33"/>
      <c r="G273" s="33"/>
    </row>
    <row r="274" ht="15.75" customHeight="1">
      <c r="A274" s="34"/>
      <c r="B274" s="33"/>
      <c r="C274" s="33"/>
      <c r="D274" s="32"/>
      <c r="E274" s="33"/>
      <c r="F274" s="33"/>
      <c r="G274" s="33"/>
    </row>
    <row r="275" ht="15.75" customHeight="1">
      <c r="A275" s="34"/>
      <c r="B275" s="33"/>
      <c r="C275" s="33"/>
      <c r="D275" s="32"/>
      <c r="E275" s="33"/>
      <c r="F275" s="33"/>
      <c r="G275" s="33"/>
    </row>
    <row r="276" ht="15.75" customHeight="1">
      <c r="A276" s="34"/>
      <c r="B276" s="33"/>
      <c r="C276" s="33"/>
      <c r="D276" s="32"/>
      <c r="E276" s="33"/>
      <c r="F276" s="33"/>
      <c r="G276" s="33"/>
    </row>
    <row r="277" ht="15.75" customHeight="1">
      <c r="A277" s="34"/>
      <c r="B277" s="33"/>
      <c r="C277" s="33"/>
      <c r="D277" s="32"/>
      <c r="E277" s="33"/>
      <c r="F277" s="33"/>
      <c r="G277" s="33"/>
    </row>
    <row r="278" ht="15.75" customHeight="1">
      <c r="A278" s="34"/>
      <c r="B278" s="33"/>
      <c r="C278" s="33"/>
      <c r="D278" s="32"/>
      <c r="E278" s="33"/>
      <c r="F278" s="33"/>
      <c r="G278" s="33"/>
    </row>
    <row r="279" ht="15.75" customHeight="1">
      <c r="A279" s="34"/>
      <c r="B279" s="33"/>
      <c r="C279" s="33"/>
      <c r="D279" s="32"/>
      <c r="E279" s="33"/>
      <c r="F279" s="33"/>
      <c r="G279" s="33"/>
    </row>
    <row r="280" ht="15.75" customHeight="1">
      <c r="A280" s="34"/>
      <c r="B280" s="33"/>
      <c r="C280" s="33"/>
      <c r="D280" s="32"/>
      <c r="E280" s="33"/>
      <c r="F280" s="33"/>
      <c r="G280" s="33"/>
    </row>
    <row r="281" ht="15.75" customHeight="1">
      <c r="A281" s="34"/>
      <c r="B281" s="33"/>
      <c r="C281" s="33"/>
      <c r="D281" s="32"/>
      <c r="E281" s="33"/>
      <c r="F281" s="33"/>
      <c r="G281" s="33"/>
    </row>
    <row r="282" ht="15.75" customHeight="1">
      <c r="A282" s="34"/>
      <c r="B282" s="33"/>
      <c r="C282" s="33"/>
      <c r="D282" s="32"/>
      <c r="E282" s="33"/>
      <c r="F282" s="33"/>
      <c r="G282" s="33"/>
    </row>
    <row r="283" ht="15.75" customHeight="1">
      <c r="A283" s="34"/>
      <c r="B283" s="33"/>
      <c r="C283" s="33"/>
      <c r="D283" s="32"/>
      <c r="E283" s="33"/>
      <c r="F283" s="33"/>
      <c r="G283" s="33"/>
    </row>
    <row r="284" ht="15.75" customHeight="1">
      <c r="A284" s="34"/>
      <c r="B284" s="33"/>
      <c r="C284" s="33"/>
      <c r="D284" s="32"/>
      <c r="E284" s="33"/>
      <c r="F284" s="33"/>
      <c r="G284" s="33"/>
    </row>
    <row r="285" ht="15.75" customHeight="1">
      <c r="A285" s="34"/>
      <c r="B285" s="33"/>
      <c r="C285" s="33"/>
      <c r="D285" s="32"/>
      <c r="E285" s="33"/>
      <c r="F285" s="33"/>
      <c r="G285" s="33"/>
    </row>
    <row r="286" ht="15.75" customHeight="1">
      <c r="A286" s="34"/>
      <c r="B286" s="33"/>
      <c r="C286" s="33"/>
      <c r="D286" s="32"/>
      <c r="E286" s="33"/>
      <c r="F286" s="33"/>
      <c r="G286" s="33"/>
    </row>
    <row r="287" ht="15.75" customHeight="1">
      <c r="A287" s="34"/>
      <c r="B287" s="33"/>
      <c r="C287" s="33"/>
      <c r="D287" s="32"/>
      <c r="E287" s="33"/>
      <c r="F287" s="33"/>
      <c r="G287" s="33"/>
    </row>
    <row r="288" ht="15.75" customHeight="1">
      <c r="A288" s="34"/>
      <c r="B288" s="33"/>
      <c r="C288" s="33"/>
      <c r="D288" s="32"/>
      <c r="E288" s="33"/>
      <c r="F288" s="33"/>
      <c r="G288" s="33"/>
    </row>
    <row r="289" ht="15.75" customHeight="1">
      <c r="A289" s="34"/>
      <c r="B289" s="33"/>
      <c r="C289" s="33"/>
      <c r="D289" s="32"/>
      <c r="E289" s="33"/>
      <c r="F289" s="33"/>
      <c r="G289" s="33"/>
    </row>
    <row r="290" ht="15.75" customHeight="1">
      <c r="A290" s="34"/>
      <c r="B290" s="33"/>
      <c r="C290" s="33"/>
      <c r="D290" s="32"/>
      <c r="E290" s="33"/>
      <c r="F290" s="33"/>
      <c r="G290" s="33"/>
    </row>
    <row r="291" ht="15.75" customHeight="1">
      <c r="A291" s="34"/>
      <c r="B291" s="33"/>
      <c r="C291" s="33"/>
      <c r="D291" s="32"/>
      <c r="E291" s="33"/>
      <c r="F291" s="33"/>
      <c r="G291" s="33"/>
    </row>
    <row r="292" ht="15.75" customHeight="1">
      <c r="A292" s="34"/>
      <c r="B292" s="33"/>
      <c r="C292" s="33"/>
      <c r="D292" s="32"/>
      <c r="E292" s="33"/>
      <c r="F292" s="33"/>
      <c r="G292" s="33"/>
    </row>
    <row r="293" ht="15.75" customHeight="1">
      <c r="A293" s="34"/>
      <c r="B293" s="33"/>
      <c r="C293" s="33"/>
      <c r="D293" s="32"/>
      <c r="E293" s="33"/>
      <c r="F293" s="33"/>
      <c r="G293" s="33"/>
    </row>
    <row r="294" ht="15.75" customHeight="1">
      <c r="A294" s="34"/>
      <c r="B294" s="33"/>
      <c r="C294" s="33"/>
      <c r="D294" s="32"/>
      <c r="E294" s="33"/>
      <c r="F294" s="33"/>
      <c r="G294" s="33"/>
    </row>
    <row r="295" ht="15.75" customHeight="1">
      <c r="A295" s="34"/>
      <c r="B295" s="33"/>
      <c r="C295" s="33"/>
      <c r="D295" s="32"/>
      <c r="E295" s="33"/>
      <c r="F295" s="33"/>
      <c r="G295" s="33"/>
    </row>
    <row r="296" ht="15.75" customHeight="1">
      <c r="A296" s="34"/>
      <c r="B296" s="33"/>
      <c r="C296" s="33"/>
      <c r="D296" s="32"/>
      <c r="E296" s="33"/>
      <c r="F296" s="33"/>
      <c r="G296" s="33"/>
    </row>
    <row r="297" ht="15.75" customHeight="1">
      <c r="A297" s="34"/>
      <c r="B297" s="33"/>
      <c r="C297" s="33"/>
      <c r="D297" s="32"/>
      <c r="E297" s="33"/>
      <c r="F297" s="33"/>
      <c r="G297" s="33"/>
    </row>
    <row r="298" ht="15.75" customHeight="1">
      <c r="A298" s="34"/>
      <c r="B298" s="33"/>
      <c r="C298" s="33"/>
      <c r="D298" s="32"/>
      <c r="E298" s="33"/>
      <c r="F298" s="33"/>
      <c r="G298" s="33"/>
    </row>
    <row r="299" ht="15.75" customHeight="1">
      <c r="A299" s="34"/>
      <c r="B299" s="33"/>
      <c r="C299" s="33"/>
      <c r="D299" s="32"/>
      <c r="E299" s="33"/>
      <c r="F299" s="33"/>
      <c r="G299" s="33"/>
    </row>
    <row r="300" ht="15.75" customHeight="1">
      <c r="A300" s="34"/>
      <c r="B300" s="33"/>
      <c r="C300" s="33"/>
      <c r="D300" s="32"/>
      <c r="E300" s="33"/>
      <c r="F300" s="33"/>
      <c r="G300" s="33"/>
    </row>
    <row r="301" ht="15.75" customHeight="1">
      <c r="A301" s="34"/>
      <c r="B301" s="33"/>
      <c r="C301" s="33"/>
      <c r="D301" s="32"/>
      <c r="E301" s="33"/>
      <c r="F301" s="33"/>
      <c r="G301" s="33"/>
    </row>
    <row r="302" ht="15.75" customHeight="1">
      <c r="A302" s="34"/>
      <c r="B302" s="33"/>
      <c r="C302" s="33"/>
      <c r="D302" s="32"/>
      <c r="E302" s="33"/>
      <c r="F302" s="33"/>
      <c r="G302" s="33"/>
    </row>
    <row r="303" ht="15.75" customHeight="1">
      <c r="A303" s="34"/>
      <c r="B303" s="33"/>
      <c r="C303" s="33"/>
      <c r="D303" s="32"/>
      <c r="E303" s="33"/>
      <c r="F303" s="33"/>
      <c r="G303" s="33"/>
    </row>
    <row r="304" ht="15.75" customHeight="1">
      <c r="A304" s="34"/>
      <c r="B304" s="33"/>
      <c r="C304" s="33"/>
      <c r="D304" s="32"/>
      <c r="E304" s="33"/>
      <c r="F304" s="33"/>
      <c r="G304" s="33"/>
    </row>
    <row r="305" ht="15.75" customHeight="1">
      <c r="A305" s="34"/>
      <c r="B305" s="33"/>
      <c r="C305" s="33"/>
      <c r="D305" s="32"/>
      <c r="E305" s="33"/>
      <c r="F305" s="33"/>
      <c r="G305" s="33"/>
    </row>
    <row r="306" ht="15.75" customHeight="1">
      <c r="A306" s="34"/>
      <c r="B306" s="33"/>
      <c r="C306" s="33"/>
      <c r="D306" s="32"/>
      <c r="E306" s="33"/>
      <c r="F306" s="33"/>
      <c r="G306" s="33"/>
    </row>
    <row r="307" ht="15.75" customHeight="1">
      <c r="A307" s="34"/>
      <c r="B307" s="33"/>
      <c r="C307" s="33"/>
      <c r="D307" s="32"/>
      <c r="E307" s="33"/>
      <c r="F307" s="33"/>
      <c r="G307" s="33"/>
    </row>
    <row r="308" ht="15.75" customHeight="1">
      <c r="A308" s="34"/>
      <c r="B308" s="33"/>
      <c r="C308" s="33"/>
      <c r="D308" s="32"/>
      <c r="E308" s="33"/>
      <c r="F308" s="33"/>
      <c r="G308" s="33"/>
    </row>
    <row r="309" ht="15.75" customHeight="1">
      <c r="A309" s="34"/>
      <c r="B309" s="33"/>
      <c r="C309" s="33"/>
      <c r="D309" s="32"/>
      <c r="E309" s="33"/>
      <c r="F309" s="33"/>
      <c r="G309" s="33"/>
    </row>
    <row r="310" ht="15.75" customHeight="1">
      <c r="A310" s="34"/>
      <c r="B310" s="33"/>
      <c r="C310" s="33"/>
      <c r="D310" s="32"/>
      <c r="E310" s="33"/>
      <c r="F310" s="33"/>
      <c r="G310" s="33"/>
    </row>
    <row r="311" ht="15.75" customHeight="1">
      <c r="A311" s="34"/>
      <c r="B311" s="33"/>
      <c r="C311" s="33"/>
      <c r="D311" s="32"/>
      <c r="E311" s="33"/>
      <c r="F311" s="33"/>
      <c r="G311" s="33"/>
    </row>
    <row r="312" ht="15.75" customHeight="1">
      <c r="A312" s="34"/>
      <c r="B312" s="33"/>
      <c r="C312" s="33"/>
      <c r="D312" s="32"/>
      <c r="E312" s="33"/>
      <c r="F312" s="33"/>
      <c r="G312" s="33"/>
    </row>
    <row r="313" ht="15.75" customHeight="1">
      <c r="A313" s="34"/>
      <c r="B313" s="33"/>
      <c r="C313" s="33"/>
      <c r="D313" s="32"/>
      <c r="E313" s="33"/>
      <c r="F313" s="33"/>
      <c r="G313" s="33"/>
    </row>
    <row r="314" ht="15.75" customHeight="1">
      <c r="A314" s="34"/>
      <c r="B314" s="33"/>
      <c r="C314" s="33"/>
      <c r="D314" s="32"/>
      <c r="E314" s="33"/>
      <c r="F314" s="33"/>
      <c r="G314" s="33"/>
    </row>
    <row r="315" ht="15.75" customHeight="1">
      <c r="A315" s="34"/>
      <c r="B315" s="33"/>
      <c r="C315" s="33"/>
      <c r="D315" s="32"/>
      <c r="E315" s="33"/>
      <c r="F315" s="33"/>
      <c r="G315" s="33"/>
    </row>
    <row r="316" ht="15.75" customHeight="1">
      <c r="A316" s="34"/>
      <c r="B316" s="33"/>
      <c r="C316" s="33"/>
      <c r="D316" s="32"/>
      <c r="E316" s="33"/>
      <c r="F316" s="33"/>
      <c r="G316" s="33"/>
    </row>
    <row r="317" ht="15.75" customHeight="1">
      <c r="A317" s="34"/>
      <c r="B317" s="33"/>
      <c r="C317" s="33"/>
      <c r="D317" s="32"/>
      <c r="E317" s="33"/>
      <c r="F317" s="33"/>
      <c r="G317" s="33"/>
    </row>
    <row r="318" ht="15.75" customHeight="1">
      <c r="A318" s="34"/>
      <c r="B318" s="33"/>
      <c r="C318" s="33"/>
      <c r="D318" s="32"/>
      <c r="E318" s="33"/>
      <c r="F318" s="33"/>
      <c r="G318" s="33"/>
    </row>
    <row r="319" ht="15.75" customHeight="1">
      <c r="A319" s="34"/>
      <c r="B319" s="33"/>
      <c r="C319" s="33"/>
      <c r="D319" s="32"/>
      <c r="E319" s="33"/>
      <c r="F319" s="33"/>
      <c r="G319" s="33"/>
    </row>
    <row r="320" ht="15.75" customHeight="1">
      <c r="A320" s="34"/>
      <c r="B320" s="33"/>
      <c r="C320" s="33"/>
      <c r="D320" s="32"/>
      <c r="E320" s="33"/>
      <c r="F320" s="33"/>
      <c r="G320" s="33"/>
    </row>
    <row r="321" ht="15.75" customHeight="1">
      <c r="A321" s="34"/>
      <c r="B321" s="33"/>
      <c r="C321" s="33"/>
      <c r="D321" s="32"/>
      <c r="E321" s="33"/>
      <c r="F321" s="33"/>
      <c r="G321" s="33"/>
    </row>
    <row r="322" ht="15.75" customHeight="1">
      <c r="A322" s="34"/>
      <c r="B322" s="33"/>
      <c r="C322" s="33"/>
      <c r="D322" s="32"/>
      <c r="E322" s="33"/>
      <c r="F322" s="33"/>
      <c r="G322" s="33"/>
    </row>
    <row r="323" ht="15.75" customHeight="1">
      <c r="A323" s="34"/>
      <c r="B323" s="33"/>
      <c r="C323" s="33"/>
      <c r="D323" s="32"/>
      <c r="E323" s="33"/>
      <c r="F323" s="33"/>
      <c r="G323" s="33"/>
    </row>
    <row r="324" ht="15.75" customHeight="1">
      <c r="A324" s="34"/>
      <c r="B324" s="33"/>
      <c r="C324" s="33"/>
      <c r="D324" s="32"/>
      <c r="E324" s="33"/>
      <c r="F324" s="33"/>
      <c r="G324" s="33"/>
    </row>
    <row r="325" ht="15.75" customHeight="1">
      <c r="A325" s="34"/>
      <c r="B325" s="33"/>
      <c r="C325" s="33"/>
      <c r="D325" s="32"/>
      <c r="E325" s="33"/>
      <c r="F325" s="33"/>
      <c r="G325" s="33"/>
    </row>
    <row r="326" ht="15.75" customHeight="1">
      <c r="A326" s="34"/>
      <c r="B326" s="33"/>
      <c r="C326" s="33"/>
      <c r="D326" s="32"/>
      <c r="E326" s="33"/>
      <c r="F326" s="33"/>
      <c r="G326" s="33"/>
    </row>
    <row r="327" ht="15.75" customHeight="1">
      <c r="A327" s="34"/>
      <c r="B327" s="33"/>
      <c r="C327" s="33"/>
      <c r="D327" s="32"/>
      <c r="E327" s="33"/>
      <c r="F327" s="33"/>
      <c r="G327" s="33"/>
    </row>
    <row r="328" ht="15.75" customHeight="1">
      <c r="A328" s="34"/>
      <c r="B328" s="33"/>
      <c r="C328" s="33"/>
      <c r="D328" s="32"/>
      <c r="E328" s="33"/>
      <c r="F328" s="33"/>
      <c r="G328" s="33"/>
    </row>
    <row r="329" ht="15.75" customHeight="1">
      <c r="A329" s="34"/>
      <c r="B329" s="33"/>
      <c r="C329" s="33"/>
      <c r="D329" s="32"/>
      <c r="E329" s="33"/>
      <c r="F329" s="33"/>
      <c r="G329" s="33"/>
    </row>
    <row r="330" ht="15.75" customHeight="1">
      <c r="A330" s="34"/>
      <c r="B330" s="33"/>
      <c r="C330" s="33"/>
      <c r="D330" s="32"/>
      <c r="E330" s="33"/>
      <c r="F330" s="33"/>
      <c r="G330" s="33"/>
    </row>
    <row r="331" ht="15.75" customHeight="1">
      <c r="A331" s="34"/>
      <c r="B331" s="33"/>
      <c r="C331" s="33"/>
      <c r="D331" s="32"/>
      <c r="E331" s="33"/>
      <c r="F331" s="33"/>
      <c r="G331" s="33"/>
    </row>
    <row r="332" ht="15.75" customHeight="1">
      <c r="A332" s="34"/>
      <c r="B332" s="33"/>
      <c r="C332" s="33"/>
      <c r="D332" s="32"/>
      <c r="E332" s="33"/>
      <c r="F332" s="33"/>
      <c r="G332" s="33"/>
    </row>
    <row r="333" ht="15.75" customHeight="1">
      <c r="A333" s="34"/>
      <c r="B333" s="33"/>
      <c r="C333" s="33"/>
      <c r="D333" s="32"/>
      <c r="E333" s="33"/>
      <c r="F333" s="33"/>
      <c r="G333" s="33"/>
    </row>
    <row r="334" ht="15.75" customHeight="1">
      <c r="A334" s="34"/>
      <c r="B334" s="33"/>
      <c r="C334" s="33"/>
      <c r="D334" s="32"/>
      <c r="E334" s="33"/>
      <c r="F334" s="33"/>
      <c r="G334" s="33"/>
    </row>
    <row r="335" ht="15.75" customHeight="1">
      <c r="A335" s="34"/>
      <c r="B335" s="33"/>
      <c r="C335" s="33"/>
      <c r="D335" s="32"/>
      <c r="E335" s="33"/>
      <c r="F335" s="33"/>
      <c r="G335" s="33"/>
    </row>
    <row r="336" ht="15.75" customHeight="1">
      <c r="A336" s="34"/>
      <c r="B336" s="33"/>
      <c r="C336" s="33"/>
      <c r="D336" s="32"/>
      <c r="E336" s="33"/>
      <c r="F336" s="33"/>
      <c r="G336" s="33"/>
    </row>
    <row r="337" ht="15.75" customHeight="1">
      <c r="A337" s="34"/>
      <c r="B337" s="33"/>
      <c r="C337" s="33"/>
      <c r="D337" s="32"/>
      <c r="E337" s="33"/>
      <c r="F337" s="33"/>
      <c r="G337" s="33"/>
    </row>
    <row r="338" ht="15.75" customHeight="1">
      <c r="A338" s="34"/>
      <c r="B338" s="33"/>
      <c r="C338" s="33"/>
      <c r="D338" s="32"/>
      <c r="E338" s="33"/>
      <c r="F338" s="33"/>
      <c r="G338" s="33"/>
    </row>
    <row r="339" ht="15.75" customHeight="1">
      <c r="A339" s="34"/>
      <c r="B339" s="33"/>
      <c r="C339" s="33"/>
      <c r="D339" s="32"/>
      <c r="E339" s="33"/>
      <c r="F339" s="33"/>
      <c r="G339" s="33"/>
    </row>
    <row r="340" ht="15.75" customHeight="1">
      <c r="A340" s="34"/>
      <c r="B340" s="33"/>
      <c r="C340" s="33"/>
      <c r="D340" s="32"/>
      <c r="E340" s="33"/>
      <c r="F340" s="33"/>
      <c r="G340" s="33"/>
    </row>
    <row r="341" ht="15.75" customHeight="1">
      <c r="A341" s="34"/>
      <c r="B341" s="33"/>
      <c r="C341" s="33"/>
      <c r="D341" s="32"/>
      <c r="E341" s="33"/>
      <c r="F341" s="33"/>
      <c r="G341" s="33"/>
    </row>
    <row r="342" ht="15.75" customHeight="1">
      <c r="A342" s="34"/>
      <c r="B342" s="33"/>
      <c r="C342" s="33"/>
      <c r="D342" s="32"/>
      <c r="E342" s="33"/>
      <c r="F342" s="33"/>
      <c r="G342" s="33"/>
    </row>
    <row r="343" ht="15.75" customHeight="1">
      <c r="A343" s="34"/>
      <c r="B343" s="33"/>
      <c r="C343" s="33"/>
      <c r="D343" s="32"/>
      <c r="E343" s="33"/>
      <c r="F343" s="33"/>
      <c r="G343" s="33"/>
    </row>
    <row r="344" ht="15.75" customHeight="1">
      <c r="A344" s="34"/>
      <c r="B344" s="33"/>
      <c r="C344" s="33"/>
      <c r="D344" s="32"/>
      <c r="E344" s="33"/>
      <c r="F344" s="33"/>
      <c r="G344" s="33"/>
    </row>
    <row r="345" ht="15.75" customHeight="1">
      <c r="A345" s="34"/>
      <c r="B345" s="33"/>
      <c r="C345" s="33"/>
      <c r="D345" s="32"/>
      <c r="E345" s="33"/>
      <c r="F345" s="33"/>
      <c r="G345" s="33"/>
    </row>
    <row r="346" ht="15.75" customHeight="1">
      <c r="A346" s="34"/>
      <c r="B346" s="33"/>
      <c r="C346" s="33"/>
      <c r="D346" s="32"/>
      <c r="E346" s="33"/>
      <c r="F346" s="33"/>
      <c r="G346" s="33"/>
    </row>
    <row r="347" ht="15.75" customHeight="1">
      <c r="A347" s="34"/>
      <c r="B347" s="33"/>
      <c r="C347" s="33"/>
      <c r="D347" s="32"/>
      <c r="E347" s="33"/>
      <c r="F347" s="33"/>
      <c r="G347" s="33"/>
    </row>
    <row r="348" ht="15.75" customHeight="1">
      <c r="A348" s="34"/>
      <c r="B348" s="33"/>
      <c r="C348" s="33"/>
      <c r="D348" s="32"/>
      <c r="E348" s="33"/>
      <c r="F348" s="33"/>
      <c r="G348" s="33"/>
    </row>
    <row r="349" ht="15.75" customHeight="1">
      <c r="A349" s="34"/>
      <c r="B349" s="33"/>
      <c r="C349" s="33"/>
      <c r="D349" s="32"/>
      <c r="E349" s="33"/>
      <c r="F349" s="33"/>
      <c r="G349" s="33"/>
    </row>
    <row r="350" ht="15.75" customHeight="1">
      <c r="A350" s="34"/>
      <c r="B350" s="33"/>
      <c r="C350" s="33"/>
      <c r="D350" s="32"/>
      <c r="E350" s="33"/>
      <c r="F350" s="33"/>
      <c r="G350" s="33"/>
    </row>
    <row r="351" ht="15.75" customHeight="1">
      <c r="A351" s="34"/>
      <c r="B351" s="33"/>
      <c r="C351" s="33"/>
      <c r="D351" s="32"/>
      <c r="E351" s="33"/>
      <c r="F351" s="33"/>
      <c r="G351" s="33"/>
    </row>
    <row r="352" ht="15.75" customHeight="1">
      <c r="A352" s="34"/>
      <c r="B352" s="33"/>
      <c r="C352" s="33"/>
      <c r="D352" s="32"/>
      <c r="E352" s="33"/>
      <c r="F352" s="33"/>
      <c r="G352" s="33"/>
    </row>
    <row r="353" ht="15.75" customHeight="1">
      <c r="A353" s="34"/>
      <c r="B353" s="33"/>
      <c r="C353" s="33"/>
      <c r="D353" s="32"/>
      <c r="E353" s="33"/>
      <c r="F353" s="33"/>
      <c r="G353" s="33"/>
    </row>
    <row r="354" ht="15.75" customHeight="1">
      <c r="A354" s="34"/>
      <c r="B354" s="33"/>
      <c r="C354" s="33"/>
      <c r="D354" s="32"/>
      <c r="E354" s="33"/>
      <c r="F354" s="33"/>
      <c r="G354" s="33"/>
    </row>
    <row r="355" ht="15.75" customHeight="1">
      <c r="A355" s="34"/>
      <c r="B355" s="33"/>
      <c r="C355" s="33"/>
      <c r="D355" s="32"/>
      <c r="E355" s="33"/>
      <c r="F355" s="33"/>
      <c r="G355" s="33"/>
    </row>
    <row r="356" ht="15.75" customHeight="1">
      <c r="A356" s="34"/>
      <c r="B356" s="33"/>
      <c r="C356" s="33"/>
      <c r="D356" s="32"/>
      <c r="E356" s="33"/>
      <c r="F356" s="33"/>
      <c r="G356" s="33"/>
    </row>
    <row r="357" ht="15.75" customHeight="1">
      <c r="A357" s="34"/>
      <c r="B357" s="33"/>
      <c r="C357" s="33"/>
      <c r="D357" s="32"/>
      <c r="E357" s="33"/>
      <c r="F357" s="33"/>
      <c r="G357" s="33"/>
    </row>
    <row r="358" ht="15.75" customHeight="1">
      <c r="A358" s="34"/>
      <c r="B358" s="33"/>
      <c r="C358" s="33"/>
      <c r="D358" s="32"/>
      <c r="E358" s="33"/>
      <c r="F358" s="33"/>
      <c r="G358" s="33"/>
    </row>
    <row r="359" ht="15.75" customHeight="1">
      <c r="A359" s="34"/>
      <c r="B359" s="33"/>
      <c r="C359" s="33"/>
      <c r="D359" s="32"/>
      <c r="E359" s="33"/>
      <c r="F359" s="33"/>
      <c r="G359" s="33"/>
    </row>
    <row r="360" ht="15.75" customHeight="1">
      <c r="A360" s="34"/>
      <c r="B360" s="33"/>
      <c r="C360" s="33"/>
      <c r="D360" s="32"/>
      <c r="E360" s="33"/>
      <c r="F360" s="33"/>
      <c r="G360" s="33"/>
    </row>
    <row r="361" ht="15.75" customHeight="1">
      <c r="A361" s="34"/>
      <c r="B361" s="33"/>
      <c r="C361" s="33"/>
      <c r="D361" s="32"/>
      <c r="E361" s="33"/>
      <c r="F361" s="33"/>
      <c r="G361" s="33"/>
    </row>
    <row r="362" ht="15.75" customHeight="1">
      <c r="A362" s="34"/>
      <c r="B362" s="33"/>
      <c r="C362" s="33"/>
      <c r="D362" s="32"/>
      <c r="E362" s="33"/>
      <c r="F362" s="33"/>
      <c r="G362" s="33"/>
    </row>
    <row r="363" ht="15.75" customHeight="1">
      <c r="A363" s="34"/>
      <c r="B363" s="33"/>
      <c r="C363" s="33"/>
      <c r="D363" s="32"/>
      <c r="E363" s="33"/>
      <c r="F363" s="33"/>
      <c r="G363" s="33"/>
    </row>
    <row r="364" ht="15.75" customHeight="1">
      <c r="A364" s="34"/>
      <c r="B364" s="33"/>
      <c r="C364" s="33"/>
      <c r="D364" s="32"/>
      <c r="E364" s="33"/>
      <c r="F364" s="33"/>
      <c r="G364" s="33"/>
    </row>
    <row r="365" ht="15.75" customHeight="1">
      <c r="A365" s="34"/>
      <c r="B365" s="33"/>
      <c r="C365" s="33"/>
      <c r="D365" s="32"/>
      <c r="E365" s="33"/>
      <c r="F365" s="33"/>
      <c r="G365" s="33"/>
    </row>
    <row r="366" ht="15.75" customHeight="1">
      <c r="A366" s="34"/>
      <c r="B366" s="33"/>
      <c r="C366" s="33"/>
      <c r="D366" s="32"/>
      <c r="E366" s="33"/>
      <c r="F366" s="33"/>
      <c r="G366" s="33"/>
    </row>
    <row r="367" ht="15.75" customHeight="1">
      <c r="A367" s="34"/>
      <c r="B367" s="33"/>
      <c r="C367" s="33"/>
      <c r="D367" s="32"/>
      <c r="E367" s="33"/>
      <c r="F367" s="33"/>
      <c r="G367" s="33"/>
    </row>
    <row r="368" ht="15.75" customHeight="1">
      <c r="A368" s="34"/>
      <c r="B368" s="33"/>
      <c r="C368" s="33"/>
      <c r="D368" s="32"/>
      <c r="E368" s="33"/>
      <c r="F368" s="33"/>
      <c r="G368" s="33"/>
    </row>
    <row r="369" ht="15.75" customHeight="1">
      <c r="A369" s="34"/>
      <c r="B369" s="33"/>
      <c r="C369" s="33"/>
      <c r="D369" s="32"/>
      <c r="E369" s="33"/>
      <c r="F369" s="33"/>
      <c r="G369" s="33"/>
    </row>
    <row r="370" ht="15.75" customHeight="1">
      <c r="A370" s="34"/>
      <c r="B370" s="33"/>
      <c r="C370" s="33"/>
      <c r="D370" s="32"/>
      <c r="E370" s="33"/>
      <c r="F370" s="33"/>
      <c r="G370" s="33"/>
    </row>
    <row r="371" ht="15.75" customHeight="1">
      <c r="A371" s="34"/>
      <c r="B371" s="33"/>
      <c r="C371" s="33"/>
      <c r="D371" s="32"/>
      <c r="E371" s="33"/>
      <c r="F371" s="33"/>
      <c r="G371" s="33"/>
    </row>
    <row r="372" ht="15.75" customHeight="1">
      <c r="A372" s="34"/>
      <c r="B372" s="33"/>
      <c r="C372" s="33"/>
      <c r="D372" s="32"/>
      <c r="E372" s="33"/>
      <c r="F372" s="33"/>
      <c r="G372" s="33"/>
    </row>
    <row r="373" ht="15.75" customHeight="1">
      <c r="A373" s="34"/>
      <c r="B373" s="33"/>
      <c r="C373" s="33"/>
      <c r="D373" s="32"/>
      <c r="E373" s="33"/>
      <c r="F373" s="33"/>
      <c r="G373" s="33"/>
    </row>
    <row r="374" ht="15.75" customHeight="1">
      <c r="A374" s="34"/>
      <c r="B374" s="33"/>
      <c r="C374" s="33"/>
      <c r="D374" s="32"/>
      <c r="E374" s="33"/>
      <c r="F374" s="33"/>
      <c r="G374" s="33"/>
    </row>
    <row r="375" ht="15.75" customHeight="1">
      <c r="A375" s="34"/>
      <c r="B375" s="33"/>
      <c r="C375" s="33"/>
      <c r="D375" s="32"/>
      <c r="E375" s="33"/>
      <c r="F375" s="33"/>
      <c r="G375" s="33"/>
    </row>
    <row r="376" ht="15.75" customHeight="1">
      <c r="A376" s="34"/>
      <c r="B376" s="33"/>
      <c r="C376" s="33"/>
      <c r="D376" s="32"/>
      <c r="E376" s="33"/>
      <c r="F376" s="33"/>
      <c r="G376" s="33"/>
    </row>
    <row r="377" ht="15.75" customHeight="1">
      <c r="A377" s="34"/>
      <c r="B377" s="33"/>
      <c r="C377" s="33"/>
      <c r="D377" s="32"/>
      <c r="E377" s="33"/>
      <c r="F377" s="33"/>
      <c r="G377" s="33"/>
    </row>
    <row r="378" ht="15.75" customHeight="1">
      <c r="A378" s="34"/>
      <c r="B378" s="33"/>
      <c r="C378" s="33"/>
      <c r="D378" s="32"/>
      <c r="E378" s="33"/>
      <c r="F378" s="33"/>
      <c r="G378" s="33"/>
    </row>
    <row r="379" ht="15.75" customHeight="1">
      <c r="A379" s="34"/>
      <c r="B379" s="33"/>
      <c r="C379" s="33"/>
      <c r="D379" s="32"/>
      <c r="E379" s="33"/>
      <c r="F379" s="33"/>
      <c r="G379" s="33"/>
    </row>
    <row r="380" ht="15.75" customHeight="1">
      <c r="A380" s="34"/>
      <c r="B380" s="33"/>
      <c r="C380" s="33"/>
      <c r="D380" s="32"/>
      <c r="E380" s="33"/>
      <c r="F380" s="33"/>
      <c r="G380" s="33"/>
    </row>
    <row r="381" ht="15.75" customHeight="1">
      <c r="A381" s="34"/>
      <c r="B381" s="33"/>
      <c r="C381" s="33"/>
      <c r="D381" s="32"/>
      <c r="E381" s="33"/>
      <c r="F381" s="33"/>
      <c r="G381" s="33"/>
    </row>
    <row r="382" ht="15.75" customHeight="1">
      <c r="A382" s="34"/>
      <c r="B382" s="33"/>
      <c r="C382" s="33"/>
      <c r="D382" s="32"/>
      <c r="E382" s="33"/>
      <c r="F382" s="33"/>
      <c r="G382" s="33"/>
    </row>
    <row r="383" ht="15.75" customHeight="1">
      <c r="A383" s="34"/>
      <c r="B383" s="33"/>
      <c r="C383" s="33"/>
      <c r="D383" s="32"/>
      <c r="E383" s="33"/>
      <c r="F383" s="33"/>
      <c r="G383" s="33"/>
    </row>
    <row r="384" ht="15.75" customHeight="1">
      <c r="A384" s="34"/>
      <c r="B384" s="33"/>
      <c r="C384" s="33"/>
      <c r="D384" s="32"/>
      <c r="E384" s="33"/>
      <c r="F384" s="33"/>
      <c r="G384" s="33"/>
    </row>
    <row r="385" ht="15.75" customHeight="1">
      <c r="A385" s="34"/>
      <c r="B385" s="33"/>
      <c r="C385" s="33"/>
      <c r="D385" s="32"/>
      <c r="E385" s="33"/>
      <c r="F385" s="33"/>
      <c r="G385" s="33"/>
    </row>
    <row r="386" ht="15.75" customHeight="1">
      <c r="A386" s="34"/>
      <c r="B386" s="33"/>
      <c r="C386" s="33"/>
      <c r="D386" s="32"/>
      <c r="E386" s="33"/>
      <c r="F386" s="33"/>
      <c r="G386" s="33"/>
    </row>
    <row r="387" ht="15.75" customHeight="1">
      <c r="A387" s="34"/>
      <c r="B387" s="33"/>
      <c r="C387" s="33"/>
      <c r="D387" s="32"/>
      <c r="E387" s="33"/>
      <c r="F387" s="33"/>
      <c r="G387" s="33"/>
    </row>
    <row r="388" ht="15.75" customHeight="1">
      <c r="A388" s="34"/>
      <c r="B388" s="33"/>
      <c r="C388" s="33"/>
      <c r="D388" s="32"/>
      <c r="E388" s="33"/>
      <c r="F388" s="33"/>
      <c r="G388" s="33"/>
    </row>
    <row r="389" ht="15.75" customHeight="1">
      <c r="A389" s="34"/>
      <c r="B389" s="33"/>
      <c r="C389" s="33"/>
      <c r="D389" s="32"/>
      <c r="E389" s="33"/>
      <c r="F389" s="33"/>
      <c r="G389" s="33"/>
    </row>
    <row r="390" ht="15.75" customHeight="1">
      <c r="A390" s="34"/>
      <c r="B390" s="33"/>
      <c r="C390" s="33"/>
      <c r="D390" s="32"/>
      <c r="E390" s="33"/>
      <c r="F390" s="33"/>
      <c r="G390" s="33"/>
    </row>
    <row r="391" ht="15.75" customHeight="1">
      <c r="A391" s="34"/>
      <c r="B391" s="33"/>
      <c r="C391" s="33"/>
      <c r="D391" s="32"/>
      <c r="E391" s="33"/>
      <c r="F391" s="33"/>
      <c r="G391" s="33"/>
    </row>
    <row r="392" ht="15.75" customHeight="1">
      <c r="A392" s="34"/>
      <c r="B392" s="33"/>
      <c r="C392" s="33"/>
      <c r="D392" s="32"/>
      <c r="E392" s="33"/>
      <c r="F392" s="33"/>
      <c r="G392" s="33"/>
    </row>
    <row r="393" ht="15.75" customHeight="1">
      <c r="A393" s="34"/>
      <c r="B393" s="33"/>
      <c r="C393" s="33"/>
      <c r="D393" s="32"/>
      <c r="E393" s="33"/>
      <c r="F393" s="33"/>
      <c r="G393" s="33"/>
    </row>
    <row r="394" ht="15.75" customHeight="1">
      <c r="A394" s="34"/>
      <c r="B394" s="33"/>
      <c r="C394" s="33"/>
      <c r="D394" s="32"/>
      <c r="E394" s="33"/>
      <c r="F394" s="33"/>
      <c r="G394" s="33"/>
    </row>
    <row r="395" ht="15.75" customHeight="1">
      <c r="A395" s="34"/>
      <c r="B395" s="33"/>
      <c r="C395" s="33"/>
      <c r="D395" s="32"/>
      <c r="E395" s="33"/>
      <c r="F395" s="33"/>
      <c r="G395" s="33"/>
    </row>
    <row r="396" ht="15.75" customHeight="1">
      <c r="A396" s="34"/>
      <c r="B396" s="33"/>
      <c r="C396" s="33"/>
      <c r="D396" s="32"/>
      <c r="E396" s="33"/>
      <c r="F396" s="33"/>
      <c r="G396" s="33"/>
    </row>
    <row r="397" ht="15.75" customHeight="1">
      <c r="A397" s="34"/>
      <c r="B397" s="33"/>
      <c r="C397" s="33"/>
      <c r="D397" s="32"/>
      <c r="E397" s="33"/>
      <c r="F397" s="33"/>
      <c r="G397" s="33"/>
    </row>
    <row r="398" ht="15.75" customHeight="1">
      <c r="A398" s="34"/>
      <c r="B398" s="33"/>
      <c r="C398" s="33"/>
      <c r="D398" s="32"/>
      <c r="E398" s="33"/>
      <c r="F398" s="33"/>
      <c r="G398" s="33"/>
    </row>
    <row r="399" ht="15.75" customHeight="1">
      <c r="A399" s="34"/>
      <c r="B399" s="33"/>
      <c r="C399" s="33"/>
      <c r="D399" s="32"/>
      <c r="E399" s="33"/>
      <c r="F399" s="33"/>
      <c r="G399" s="33"/>
    </row>
    <row r="400" ht="15.75" customHeight="1">
      <c r="A400" s="34"/>
      <c r="B400" s="33"/>
      <c r="C400" s="33"/>
      <c r="D400" s="32"/>
      <c r="E400" s="33"/>
      <c r="F400" s="33"/>
      <c r="G400" s="33"/>
    </row>
    <row r="401" ht="15.75" customHeight="1">
      <c r="A401" s="34"/>
      <c r="B401" s="33"/>
      <c r="C401" s="33"/>
      <c r="D401" s="32"/>
      <c r="E401" s="33"/>
      <c r="F401" s="33"/>
      <c r="G401" s="33"/>
    </row>
    <row r="402" ht="15.75" customHeight="1">
      <c r="A402" s="34"/>
      <c r="B402" s="33"/>
      <c r="C402" s="33"/>
      <c r="D402" s="32"/>
      <c r="E402" s="33"/>
      <c r="F402" s="33"/>
      <c r="G402" s="33"/>
    </row>
    <row r="403" ht="15.75" customHeight="1">
      <c r="A403" s="34"/>
      <c r="B403" s="33"/>
      <c r="C403" s="33"/>
      <c r="D403" s="32"/>
      <c r="E403" s="33"/>
      <c r="F403" s="33"/>
      <c r="G403" s="33"/>
    </row>
    <row r="404" ht="15.75" customHeight="1">
      <c r="A404" s="34"/>
      <c r="B404" s="33"/>
      <c r="C404" s="33"/>
      <c r="D404" s="32"/>
      <c r="E404" s="33"/>
      <c r="F404" s="33"/>
      <c r="G404" s="33"/>
    </row>
    <row r="405" ht="15.75" customHeight="1">
      <c r="A405" s="34"/>
      <c r="B405" s="33"/>
      <c r="C405" s="33"/>
      <c r="D405" s="32"/>
      <c r="E405" s="33"/>
      <c r="F405" s="33"/>
      <c r="G405" s="33"/>
    </row>
    <row r="406" ht="15.75" customHeight="1">
      <c r="A406" s="34"/>
      <c r="B406" s="33"/>
      <c r="C406" s="33"/>
      <c r="D406" s="32"/>
      <c r="E406" s="33"/>
      <c r="F406" s="33"/>
      <c r="G406" s="33"/>
    </row>
    <row r="407" ht="15.75" customHeight="1">
      <c r="A407" s="34"/>
      <c r="B407" s="33"/>
      <c r="C407" s="33"/>
      <c r="D407" s="32"/>
      <c r="E407" s="33"/>
      <c r="F407" s="33"/>
      <c r="G407" s="33"/>
    </row>
    <row r="408" ht="15.75" customHeight="1">
      <c r="A408" s="34"/>
      <c r="B408" s="33"/>
      <c r="C408" s="33"/>
      <c r="D408" s="32"/>
      <c r="E408" s="33"/>
      <c r="F408" s="33"/>
      <c r="G408" s="33"/>
    </row>
    <row r="409" ht="15.75" customHeight="1">
      <c r="A409" s="34"/>
      <c r="B409" s="33"/>
      <c r="C409" s="33"/>
      <c r="D409" s="32"/>
      <c r="E409" s="33"/>
      <c r="F409" s="33"/>
      <c r="G409" s="33"/>
    </row>
    <row r="410" ht="15.75" customHeight="1">
      <c r="A410" s="34"/>
      <c r="B410" s="33"/>
      <c r="C410" s="33"/>
      <c r="D410" s="32"/>
      <c r="E410" s="33"/>
      <c r="F410" s="33"/>
      <c r="G410" s="33"/>
    </row>
    <row r="411" ht="15.75" customHeight="1">
      <c r="A411" s="34"/>
      <c r="B411" s="33"/>
      <c r="C411" s="33"/>
      <c r="D411" s="32"/>
      <c r="E411" s="33"/>
      <c r="F411" s="33"/>
      <c r="G411" s="33"/>
    </row>
    <row r="412" ht="15.75" customHeight="1">
      <c r="A412" s="34"/>
      <c r="B412" s="33"/>
      <c r="C412" s="33"/>
      <c r="D412" s="32"/>
      <c r="E412" s="33"/>
      <c r="F412" s="33"/>
      <c r="G412" s="33"/>
    </row>
    <row r="413" ht="15.75" customHeight="1">
      <c r="A413" s="34"/>
      <c r="B413" s="33"/>
      <c r="C413" s="33"/>
      <c r="D413" s="32"/>
      <c r="E413" s="33"/>
      <c r="F413" s="33"/>
      <c r="G413" s="33"/>
    </row>
    <row r="414" ht="15.75" customHeight="1">
      <c r="A414" s="34"/>
      <c r="B414" s="33"/>
      <c r="C414" s="33"/>
      <c r="D414" s="32"/>
      <c r="E414" s="33"/>
      <c r="F414" s="33"/>
      <c r="G414" s="33"/>
    </row>
    <row r="415" ht="15.75" customHeight="1">
      <c r="A415" s="34"/>
      <c r="B415" s="33"/>
      <c r="C415" s="33"/>
      <c r="D415" s="32"/>
      <c r="E415" s="33"/>
      <c r="F415" s="33"/>
      <c r="G415" s="33"/>
    </row>
    <row r="416" ht="15.75" customHeight="1">
      <c r="A416" s="34"/>
      <c r="B416" s="33"/>
      <c r="C416" s="33"/>
      <c r="D416" s="32"/>
      <c r="E416" s="33"/>
      <c r="F416" s="33"/>
      <c r="G416" s="33"/>
    </row>
    <row r="417" ht="15.75" customHeight="1">
      <c r="A417" s="34"/>
      <c r="B417" s="33"/>
      <c r="C417" s="33"/>
      <c r="D417" s="32"/>
      <c r="E417" s="33"/>
      <c r="F417" s="33"/>
      <c r="G417" s="33"/>
    </row>
    <row r="418" ht="15.75" customHeight="1">
      <c r="A418" s="34"/>
      <c r="B418" s="33"/>
      <c r="C418" s="33"/>
      <c r="D418" s="32"/>
      <c r="E418" s="33"/>
      <c r="F418" s="33"/>
      <c r="G418" s="33"/>
    </row>
    <row r="419" ht="15.75" customHeight="1">
      <c r="A419" s="34"/>
      <c r="B419" s="33"/>
      <c r="C419" s="33"/>
      <c r="D419" s="32"/>
      <c r="E419" s="33"/>
      <c r="F419" s="33"/>
      <c r="G419" s="33"/>
    </row>
    <row r="420" ht="15.75" customHeight="1">
      <c r="A420" s="34"/>
      <c r="B420" s="33"/>
      <c r="C420" s="33"/>
      <c r="D420" s="32"/>
      <c r="E420" s="33"/>
      <c r="F420" s="33"/>
      <c r="G420" s="33"/>
    </row>
    <row r="421" ht="15.75" customHeight="1">
      <c r="A421" s="34"/>
      <c r="B421" s="33"/>
      <c r="C421" s="33"/>
      <c r="D421" s="32"/>
      <c r="E421" s="33"/>
      <c r="F421" s="33"/>
      <c r="G421" s="33"/>
    </row>
    <row r="422" ht="15.75" customHeight="1">
      <c r="A422" s="34"/>
      <c r="B422" s="33"/>
      <c r="C422" s="33"/>
      <c r="D422" s="32"/>
      <c r="E422" s="33"/>
      <c r="F422" s="33"/>
      <c r="G422" s="33"/>
    </row>
    <row r="423" ht="15.75" customHeight="1">
      <c r="A423" s="34"/>
      <c r="B423" s="33"/>
      <c r="C423" s="33"/>
      <c r="D423" s="32"/>
      <c r="E423" s="33"/>
      <c r="F423" s="33"/>
      <c r="G423" s="33"/>
    </row>
    <row r="424" ht="15.75" customHeight="1">
      <c r="A424" s="34"/>
      <c r="B424" s="33"/>
      <c r="C424" s="33"/>
      <c r="D424" s="32"/>
      <c r="E424" s="33"/>
      <c r="F424" s="33"/>
      <c r="G424" s="33"/>
    </row>
    <row r="425" ht="15.75" customHeight="1">
      <c r="A425" s="34"/>
      <c r="B425" s="33"/>
      <c r="C425" s="33"/>
      <c r="D425" s="32"/>
      <c r="E425" s="33"/>
      <c r="F425" s="33"/>
      <c r="G425" s="33"/>
    </row>
    <row r="426" ht="15.75" customHeight="1">
      <c r="A426" s="34"/>
      <c r="B426" s="33"/>
      <c r="C426" s="33"/>
      <c r="D426" s="32"/>
      <c r="E426" s="33"/>
      <c r="F426" s="33"/>
      <c r="G426" s="33"/>
    </row>
    <row r="427" ht="15.75" customHeight="1">
      <c r="A427" s="34"/>
      <c r="B427" s="33"/>
      <c r="C427" s="33"/>
      <c r="D427" s="32"/>
      <c r="E427" s="33"/>
      <c r="F427" s="33"/>
      <c r="G427" s="33"/>
    </row>
    <row r="428" ht="15.75" customHeight="1">
      <c r="A428" s="34"/>
      <c r="B428" s="33"/>
      <c r="C428" s="33"/>
      <c r="D428" s="32"/>
      <c r="E428" s="33"/>
      <c r="F428" s="33"/>
      <c r="G428" s="33"/>
    </row>
    <row r="429" ht="15.75" customHeight="1">
      <c r="A429" s="34"/>
      <c r="B429" s="33"/>
      <c r="C429" s="33"/>
      <c r="D429" s="32"/>
      <c r="E429" s="33"/>
      <c r="F429" s="33"/>
      <c r="G429" s="33"/>
    </row>
    <row r="430" ht="15.75" customHeight="1">
      <c r="A430" s="34"/>
      <c r="B430" s="33"/>
      <c r="C430" s="33"/>
      <c r="D430" s="32"/>
      <c r="E430" s="33"/>
      <c r="F430" s="33"/>
      <c r="G430" s="33"/>
    </row>
    <row r="431" ht="15.75" customHeight="1">
      <c r="A431" s="34"/>
      <c r="B431" s="33"/>
      <c r="C431" s="33"/>
      <c r="D431" s="32"/>
      <c r="E431" s="33"/>
      <c r="F431" s="33"/>
      <c r="G431" s="33"/>
    </row>
    <row r="432" ht="15.75" customHeight="1">
      <c r="A432" s="34"/>
      <c r="B432" s="33"/>
      <c r="C432" s="33"/>
      <c r="D432" s="32"/>
      <c r="E432" s="33"/>
      <c r="F432" s="33"/>
      <c r="G432" s="33"/>
    </row>
    <row r="433" ht="15.75" customHeight="1">
      <c r="A433" s="34"/>
      <c r="B433" s="33"/>
      <c r="C433" s="33"/>
      <c r="D433" s="32"/>
      <c r="E433" s="33"/>
      <c r="F433" s="33"/>
      <c r="G433" s="33"/>
    </row>
    <row r="434" ht="15.75" customHeight="1">
      <c r="A434" s="34"/>
      <c r="B434" s="33"/>
      <c r="C434" s="33"/>
      <c r="D434" s="32"/>
      <c r="E434" s="33"/>
      <c r="F434" s="33"/>
      <c r="G434" s="33"/>
    </row>
    <row r="435" ht="15.75" customHeight="1">
      <c r="A435" s="34"/>
      <c r="B435" s="33"/>
      <c r="C435" s="33"/>
      <c r="D435" s="32"/>
      <c r="E435" s="33"/>
      <c r="F435" s="33"/>
      <c r="G435" s="33"/>
    </row>
    <row r="436" ht="15.75" customHeight="1">
      <c r="A436" s="34"/>
      <c r="B436" s="33"/>
      <c r="C436" s="33"/>
      <c r="D436" s="32"/>
      <c r="E436" s="33"/>
      <c r="F436" s="33"/>
      <c r="G436" s="33"/>
    </row>
    <row r="437" ht="15.75" customHeight="1">
      <c r="A437" s="34"/>
      <c r="B437" s="33"/>
      <c r="C437" s="33"/>
      <c r="D437" s="32"/>
      <c r="E437" s="33"/>
      <c r="F437" s="33"/>
      <c r="G437" s="33"/>
    </row>
    <row r="438" ht="15.75" customHeight="1">
      <c r="A438" s="34"/>
      <c r="B438" s="33"/>
      <c r="C438" s="33"/>
      <c r="D438" s="32"/>
      <c r="E438" s="33"/>
      <c r="F438" s="33"/>
      <c r="G438" s="33"/>
    </row>
    <row r="439" ht="15.75" customHeight="1">
      <c r="A439" s="34"/>
      <c r="B439" s="33"/>
      <c r="C439" s="33"/>
      <c r="D439" s="32"/>
      <c r="E439" s="33"/>
      <c r="F439" s="33"/>
      <c r="G439" s="33"/>
    </row>
    <row r="440" ht="15.75" customHeight="1">
      <c r="A440" s="34"/>
      <c r="B440" s="33"/>
      <c r="C440" s="33"/>
      <c r="D440" s="32"/>
      <c r="E440" s="33"/>
      <c r="F440" s="33"/>
      <c r="G440" s="33"/>
    </row>
    <row r="441" ht="15.75" customHeight="1">
      <c r="A441" s="34"/>
      <c r="B441" s="33"/>
      <c r="C441" s="33"/>
      <c r="D441" s="32"/>
      <c r="E441" s="33"/>
      <c r="F441" s="33"/>
      <c r="G441" s="33"/>
    </row>
    <row r="442" ht="15.75" customHeight="1">
      <c r="A442" s="34"/>
      <c r="B442" s="33"/>
      <c r="C442" s="33"/>
      <c r="D442" s="32"/>
      <c r="E442" s="33"/>
      <c r="F442" s="33"/>
      <c r="G442" s="33"/>
    </row>
    <row r="443" ht="15.75" customHeight="1">
      <c r="A443" s="34"/>
      <c r="B443" s="33"/>
      <c r="C443" s="33"/>
      <c r="D443" s="32"/>
      <c r="E443" s="33"/>
      <c r="F443" s="33"/>
      <c r="G443" s="33"/>
    </row>
    <row r="444" ht="15.75" customHeight="1">
      <c r="A444" s="34"/>
      <c r="B444" s="33"/>
      <c r="C444" s="33"/>
      <c r="D444" s="32"/>
      <c r="E444" s="33"/>
      <c r="F444" s="33"/>
      <c r="G444" s="33"/>
    </row>
    <row r="445" ht="15.75" customHeight="1">
      <c r="A445" s="34"/>
      <c r="B445" s="33"/>
      <c r="C445" s="33"/>
      <c r="D445" s="32"/>
      <c r="E445" s="33"/>
      <c r="F445" s="33"/>
      <c r="G445" s="33"/>
    </row>
    <row r="446" ht="15.75" customHeight="1">
      <c r="A446" s="34"/>
      <c r="B446" s="33"/>
      <c r="C446" s="33"/>
      <c r="D446" s="32"/>
      <c r="E446" s="33"/>
      <c r="F446" s="33"/>
      <c r="G446" s="33"/>
    </row>
    <row r="447" ht="15.75" customHeight="1">
      <c r="A447" s="34"/>
      <c r="B447" s="33"/>
      <c r="C447" s="33"/>
      <c r="D447" s="32"/>
      <c r="E447" s="33"/>
      <c r="F447" s="33"/>
      <c r="G447" s="33"/>
    </row>
    <row r="448" ht="15.75" customHeight="1">
      <c r="A448" s="34"/>
      <c r="B448" s="33"/>
      <c r="C448" s="33"/>
      <c r="D448" s="32"/>
      <c r="E448" s="33"/>
      <c r="F448" s="33"/>
      <c r="G448" s="33"/>
    </row>
    <row r="449" ht="15.75" customHeight="1">
      <c r="A449" s="34"/>
      <c r="B449" s="33"/>
      <c r="C449" s="33"/>
      <c r="D449" s="32"/>
      <c r="E449" s="33"/>
      <c r="F449" s="33"/>
      <c r="G449" s="33"/>
    </row>
    <row r="450" ht="15.75" customHeight="1">
      <c r="A450" s="34"/>
      <c r="B450" s="33"/>
      <c r="C450" s="33"/>
      <c r="D450" s="32"/>
      <c r="E450" s="33"/>
      <c r="F450" s="33"/>
      <c r="G450" s="33"/>
    </row>
    <row r="451" ht="15.75" customHeight="1">
      <c r="A451" s="34"/>
      <c r="B451" s="33"/>
      <c r="C451" s="33"/>
      <c r="D451" s="32"/>
      <c r="E451" s="33"/>
      <c r="F451" s="33"/>
      <c r="G451" s="33"/>
    </row>
    <row r="452" ht="15.75" customHeight="1">
      <c r="A452" s="34"/>
      <c r="B452" s="33"/>
      <c r="C452" s="33"/>
      <c r="D452" s="32"/>
      <c r="E452" s="33"/>
      <c r="F452" s="33"/>
      <c r="G452" s="33"/>
    </row>
    <row r="453" ht="15.75" customHeight="1">
      <c r="A453" s="34"/>
      <c r="B453" s="33"/>
      <c r="C453" s="33"/>
      <c r="D453" s="32"/>
      <c r="E453" s="33"/>
      <c r="F453" s="33"/>
      <c r="G453" s="33"/>
    </row>
    <row r="454" ht="15.75" customHeight="1">
      <c r="A454" s="34"/>
      <c r="B454" s="33"/>
      <c r="C454" s="33"/>
      <c r="D454" s="32"/>
      <c r="E454" s="33"/>
      <c r="F454" s="33"/>
      <c r="G454" s="33"/>
    </row>
    <row r="455" ht="15.75" customHeight="1">
      <c r="A455" s="34"/>
      <c r="B455" s="33"/>
      <c r="C455" s="33"/>
      <c r="D455" s="32"/>
      <c r="E455" s="33"/>
      <c r="F455" s="33"/>
      <c r="G455" s="33"/>
    </row>
    <row r="456" ht="15.75" customHeight="1">
      <c r="A456" s="34"/>
      <c r="B456" s="33"/>
      <c r="C456" s="33"/>
      <c r="D456" s="32"/>
      <c r="E456" s="33"/>
      <c r="F456" s="33"/>
      <c r="G456" s="33"/>
    </row>
    <row r="457" ht="15.75" customHeight="1">
      <c r="A457" s="34"/>
      <c r="B457" s="33"/>
      <c r="C457" s="33"/>
      <c r="D457" s="32"/>
      <c r="E457" s="33"/>
      <c r="F457" s="33"/>
      <c r="G457" s="33"/>
    </row>
    <row r="458" ht="15.75" customHeight="1">
      <c r="A458" s="34"/>
      <c r="B458" s="33"/>
      <c r="C458" s="33"/>
      <c r="D458" s="32"/>
      <c r="E458" s="33"/>
      <c r="F458" s="33"/>
      <c r="G458" s="33"/>
    </row>
    <row r="459" ht="15.75" customHeight="1">
      <c r="A459" s="34"/>
      <c r="B459" s="33"/>
      <c r="C459" s="33"/>
      <c r="D459" s="32"/>
      <c r="E459" s="33"/>
      <c r="F459" s="33"/>
      <c r="G459" s="33"/>
    </row>
    <row r="460" ht="15.75" customHeight="1">
      <c r="A460" s="34"/>
      <c r="B460" s="33"/>
      <c r="C460" s="33"/>
      <c r="D460" s="32"/>
      <c r="E460" s="33"/>
      <c r="F460" s="33"/>
      <c r="G460" s="33"/>
    </row>
    <row r="461" ht="15.75" customHeight="1">
      <c r="A461" s="34"/>
      <c r="B461" s="33"/>
      <c r="C461" s="33"/>
      <c r="D461" s="32"/>
      <c r="E461" s="33"/>
      <c r="F461" s="33"/>
      <c r="G461" s="33"/>
    </row>
    <row r="462" ht="15.75" customHeight="1">
      <c r="A462" s="34"/>
      <c r="B462" s="33"/>
      <c r="C462" s="33"/>
      <c r="D462" s="32"/>
      <c r="E462" s="33"/>
      <c r="F462" s="33"/>
      <c r="G462" s="33"/>
    </row>
    <row r="463" ht="15.75" customHeight="1">
      <c r="A463" s="34"/>
      <c r="B463" s="33"/>
      <c r="C463" s="33"/>
      <c r="D463" s="32"/>
      <c r="E463" s="33"/>
      <c r="F463" s="33"/>
      <c r="G463" s="33"/>
    </row>
    <row r="464" ht="15.75" customHeight="1">
      <c r="A464" s="34"/>
      <c r="B464" s="33"/>
      <c r="C464" s="33"/>
      <c r="D464" s="32"/>
      <c r="E464" s="33"/>
      <c r="F464" s="33"/>
      <c r="G464" s="33"/>
    </row>
    <row r="465" ht="15.75" customHeight="1">
      <c r="A465" s="34"/>
      <c r="B465" s="33"/>
      <c r="C465" s="33"/>
      <c r="D465" s="32"/>
      <c r="E465" s="33"/>
      <c r="F465" s="33"/>
      <c r="G465" s="33"/>
    </row>
    <row r="466" ht="15.75" customHeight="1">
      <c r="A466" s="34"/>
      <c r="B466" s="33"/>
      <c r="C466" s="33"/>
      <c r="D466" s="32"/>
      <c r="E466" s="33"/>
      <c r="F466" s="33"/>
      <c r="G466" s="33"/>
    </row>
    <row r="467" ht="15.75" customHeight="1">
      <c r="A467" s="34"/>
      <c r="B467" s="33"/>
      <c r="C467" s="33"/>
      <c r="D467" s="32"/>
      <c r="E467" s="33"/>
      <c r="F467" s="33"/>
      <c r="G467" s="33"/>
    </row>
    <row r="468" ht="15.75" customHeight="1">
      <c r="A468" s="34"/>
      <c r="B468" s="33"/>
      <c r="C468" s="33"/>
      <c r="D468" s="32"/>
      <c r="E468" s="33"/>
      <c r="F468" s="33"/>
      <c r="G468" s="33"/>
    </row>
    <row r="469" ht="15.75" customHeight="1">
      <c r="A469" s="34"/>
      <c r="B469" s="33"/>
      <c r="C469" s="33"/>
      <c r="D469" s="32"/>
      <c r="E469" s="33"/>
      <c r="F469" s="33"/>
      <c r="G469" s="33"/>
    </row>
    <row r="470" ht="15.75" customHeight="1">
      <c r="A470" s="34"/>
      <c r="B470" s="33"/>
      <c r="C470" s="33"/>
      <c r="D470" s="32"/>
      <c r="E470" s="33"/>
      <c r="F470" s="33"/>
      <c r="G470" s="33"/>
    </row>
    <row r="471" ht="15.75" customHeight="1">
      <c r="A471" s="34"/>
      <c r="B471" s="33"/>
      <c r="C471" s="33"/>
      <c r="D471" s="32"/>
      <c r="E471" s="33"/>
      <c r="F471" s="33"/>
      <c r="G471" s="33"/>
    </row>
    <row r="472" ht="15.75" customHeight="1">
      <c r="A472" s="34"/>
      <c r="B472" s="33"/>
      <c r="C472" s="33"/>
      <c r="D472" s="32"/>
      <c r="E472" s="33"/>
      <c r="F472" s="33"/>
      <c r="G472" s="33"/>
    </row>
    <row r="473" ht="15.75" customHeight="1">
      <c r="A473" s="34"/>
      <c r="B473" s="33"/>
      <c r="C473" s="33"/>
      <c r="D473" s="32"/>
      <c r="E473" s="33"/>
      <c r="F473" s="33"/>
      <c r="G473" s="33"/>
    </row>
    <row r="474" ht="15.75" customHeight="1">
      <c r="A474" s="34"/>
      <c r="B474" s="33"/>
      <c r="C474" s="33"/>
      <c r="D474" s="32"/>
      <c r="E474" s="33"/>
      <c r="F474" s="33"/>
      <c r="G474" s="33"/>
    </row>
    <row r="475" ht="15.75" customHeight="1">
      <c r="A475" s="34"/>
      <c r="B475" s="33"/>
      <c r="C475" s="33"/>
      <c r="D475" s="32"/>
      <c r="E475" s="33"/>
      <c r="F475" s="33"/>
      <c r="G475" s="33"/>
    </row>
    <row r="476" ht="15.75" customHeight="1">
      <c r="A476" s="34"/>
      <c r="B476" s="33"/>
      <c r="C476" s="33"/>
      <c r="D476" s="32"/>
      <c r="E476" s="33"/>
      <c r="F476" s="33"/>
      <c r="G476" s="33"/>
    </row>
    <row r="477" ht="15.75" customHeight="1">
      <c r="A477" s="34"/>
      <c r="B477" s="33"/>
      <c r="C477" s="33"/>
      <c r="D477" s="32"/>
      <c r="E477" s="33"/>
      <c r="F477" s="33"/>
      <c r="G477" s="33"/>
    </row>
    <row r="478" ht="15.75" customHeight="1">
      <c r="A478" s="34"/>
      <c r="B478" s="33"/>
      <c r="C478" s="33"/>
      <c r="D478" s="32"/>
      <c r="E478" s="33"/>
      <c r="F478" s="33"/>
      <c r="G478" s="33"/>
    </row>
    <row r="479" ht="15.75" customHeight="1">
      <c r="A479" s="34"/>
      <c r="B479" s="33"/>
      <c r="C479" s="33"/>
      <c r="D479" s="32"/>
      <c r="E479" s="33"/>
      <c r="F479" s="33"/>
      <c r="G479" s="33"/>
    </row>
    <row r="480" ht="15.75" customHeight="1">
      <c r="A480" s="34"/>
      <c r="B480" s="33"/>
      <c r="C480" s="33"/>
      <c r="D480" s="32"/>
      <c r="E480" s="33"/>
      <c r="F480" s="33"/>
      <c r="G480" s="33"/>
    </row>
    <row r="481" ht="15.75" customHeight="1">
      <c r="A481" s="34"/>
      <c r="B481" s="33"/>
      <c r="C481" s="33"/>
      <c r="D481" s="32"/>
      <c r="E481" s="33"/>
      <c r="F481" s="33"/>
      <c r="G481" s="33"/>
    </row>
    <row r="482" ht="15.75" customHeight="1">
      <c r="A482" s="34"/>
      <c r="B482" s="33"/>
      <c r="C482" s="33"/>
      <c r="D482" s="32"/>
      <c r="E482" s="33"/>
      <c r="F482" s="33"/>
      <c r="G482" s="33"/>
    </row>
    <row r="483" ht="15.75" customHeight="1">
      <c r="A483" s="34"/>
      <c r="B483" s="33"/>
      <c r="C483" s="33"/>
      <c r="D483" s="32"/>
      <c r="E483" s="33"/>
      <c r="F483" s="33"/>
      <c r="G483" s="33"/>
    </row>
    <row r="484" ht="15.75" customHeight="1">
      <c r="A484" s="34"/>
      <c r="B484" s="33"/>
      <c r="C484" s="33"/>
      <c r="D484" s="32"/>
      <c r="E484" s="33"/>
      <c r="F484" s="33"/>
      <c r="G484" s="33"/>
    </row>
    <row r="485" ht="15.75" customHeight="1">
      <c r="A485" s="34"/>
      <c r="B485" s="33"/>
      <c r="C485" s="33"/>
      <c r="D485" s="32"/>
      <c r="E485" s="33"/>
      <c r="F485" s="33"/>
      <c r="G485" s="33"/>
    </row>
    <row r="486" ht="15.75" customHeight="1">
      <c r="A486" s="34"/>
      <c r="B486" s="33"/>
      <c r="C486" s="33"/>
      <c r="D486" s="32"/>
      <c r="E486" s="33"/>
      <c r="F486" s="33"/>
      <c r="G486" s="33"/>
    </row>
    <row r="487" ht="15.75" customHeight="1">
      <c r="A487" s="34"/>
      <c r="B487" s="33"/>
      <c r="C487" s="33"/>
      <c r="D487" s="32"/>
      <c r="E487" s="33"/>
      <c r="F487" s="33"/>
      <c r="G487" s="33"/>
    </row>
    <row r="488" ht="15.75" customHeight="1">
      <c r="A488" s="34"/>
      <c r="B488" s="33"/>
      <c r="C488" s="33"/>
      <c r="D488" s="32"/>
      <c r="E488" s="33"/>
      <c r="F488" s="33"/>
      <c r="G488" s="33"/>
    </row>
    <row r="489" ht="15.75" customHeight="1">
      <c r="A489" s="34"/>
      <c r="B489" s="33"/>
      <c r="C489" s="33"/>
      <c r="D489" s="32"/>
      <c r="E489" s="33"/>
      <c r="F489" s="33"/>
      <c r="G489" s="33"/>
    </row>
    <row r="490" ht="15.75" customHeight="1">
      <c r="A490" s="34"/>
      <c r="B490" s="33"/>
      <c r="C490" s="33"/>
      <c r="D490" s="32"/>
      <c r="E490" s="33"/>
      <c r="F490" s="33"/>
      <c r="G490" s="33"/>
    </row>
    <row r="491" ht="15.75" customHeight="1">
      <c r="A491" s="34"/>
      <c r="B491" s="33"/>
      <c r="C491" s="33"/>
      <c r="D491" s="32"/>
      <c r="E491" s="33"/>
      <c r="F491" s="33"/>
      <c r="G491" s="33"/>
    </row>
    <row r="492" ht="15.75" customHeight="1">
      <c r="A492" s="34"/>
      <c r="B492" s="33"/>
      <c r="C492" s="33"/>
      <c r="D492" s="32"/>
      <c r="E492" s="33"/>
      <c r="F492" s="33"/>
      <c r="G492" s="33"/>
    </row>
    <row r="493" ht="15.75" customHeight="1">
      <c r="A493" s="34"/>
      <c r="B493" s="33"/>
      <c r="C493" s="33"/>
      <c r="D493" s="32"/>
      <c r="E493" s="33"/>
      <c r="F493" s="33"/>
      <c r="G493" s="33"/>
    </row>
    <row r="494" ht="15.75" customHeight="1">
      <c r="A494" s="34"/>
      <c r="B494" s="33"/>
      <c r="C494" s="33"/>
      <c r="D494" s="32"/>
      <c r="E494" s="33"/>
      <c r="F494" s="33"/>
      <c r="G494" s="33"/>
    </row>
    <row r="495" ht="15.75" customHeight="1">
      <c r="A495" s="34"/>
      <c r="B495" s="33"/>
      <c r="C495" s="33"/>
      <c r="D495" s="32"/>
      <c r="E495" s="33"/>
      <c r="F495" s="33"/>
      <c r="G495" s="33"/>
    </row>
    <row r="496" ht="15.75" customHeight="1">
      <c r="A496" s="34"/>
      <c r="B496" s="33"/>
      <c r="C496" s="33"/>
      <c r="D496" s="32"/>
      <c r="E496" s="33"/>
      <c r="F496" s="33"/>
      <c r="G496" s="33"/>
    </row>
    <row r="497" ht="15.75" customHeight="1">
      <c r="A497" s="34"/>
      <c r="B497" s="33"/>
      <c r="C497" s="33"/>
      <c r="D497" s="32"/>
      <c r="E497" s="33"/>
      <c r="F497" s="33"/>
      <c r="G497" s="33"/>
    </row>
    <row r="498" ht="15.75" customHeight="1">
      <c r="A498" s="34"/>
      <c r="B498" s="33"/>
      <c r="C498" s="33"/>
      <c r="D498" s="32"/>
      <c r="E498" s="33"/>
      <c r="F498" s="33"/>
      <c r="G498" s="33"/>
    </row>
    <row r="499" ht="15.75" customHeight="1">
      <c r="A499" s="34"/>
      <c r="B499" s="33"/>
      <c r="C499" s="33"/>
      <c r="D499" s="32"/>
      <c r="E499" s="33"/>
      <c r="F499" s="33"/>
      <c r="G499" s="33"/>
    </row>
    <row r="500" ht="15.75" customHeight="1">
      <c r="A500" s="34"/>
      <c r="B500" s="33"/>
      <c r="C500" s="33"/>
      <c r="D500" s="32"/>
      <c r="E500" s="33"/>
      <c r="F500" s="33"/>
      <c r="G500" s="33"/>
    </row>
    <row r="501" ht="15.75" customHeight="1">
      <c r="A501" s="34"/>
      <c r="B501" s="33"/>
      <c r="C501" s="33"/>
      <c r="D501" s="32"/>
      <c r="E501" s="33"/>
      <c r="F501" s="33"/>
      <c r="G501" s="33"/>
    </row>
    <row r="502" ht="15.75" customHeight="1">
      <c r="A502" s="34"/>
      <c r="B502" s="33"/>
      <c r="C502" s="33"/>
      <c r="D502" s="32"/>
      <c r="E502" s="33"/>
      <c r="F502" s="33"/>
      <c r="G502" s="33"/>
    </row>
    <row r="503" ht="15.75" customHeight="1">
      <c r="A503" s="34"/>
      <c r="B503" s="33"/>
      <c r="C503" s="33"/>
      <c r="D503" s="32"/>
      <c r="E503" s="33"/>
      <c r="F503" s="33"/>
      <c r="G503" s="33"/>
    </row>
    <row r="504" ht="15.75" customHeight="1">
      <c r="A504" s="34"/>
      <c r="B504" s="33"/>
      <c r="C504" s="33"/>
      <c r="D504" s="32"/>
      <c r="E504" s="33"/>
      <c r="F504" s="33"/>
      <c r="G504" s="33"/>
    </row>
    <row r="505" ht="15.75" customHeight="1">
      <c r="A505" s="34"/>
      <c r="B505" s="33"/>
      <c r="C505" s="33"/>
      <c r="D505" s="32"/>
      <c r="E505" s="33"/>
      <c r="F505" s="33"/>
      <c r="G505" s="33"/>
    </row>
    <row r="506" ht="15.75" customHeight="1">
      <c r="A506" s="34"/>
      <c r="B506" s="33"/>
      <c r="C506" s="33"/>
      <c r="D506" s="32"/>
      <c r="E506" s="33"/>
      <c r="F506" s="33"/>
      <c r="G506" s="33"/>
    </row>
    <row r="507" ht="15.75" customHeight="1">
      <c r="A507" s="34"/>
      <c r="B507" s="33"/>
      <c r="C507" s="33"/>
      <c r="D507" s="32"/>
      <c r="E507" s="33"/>
      <c r="F507" s="33"/>
      <c r="G507" s="33"/>
    </row>
    <row r="508" ht="15.75" customHeight="1">
      <c r="A508" s="34"/>
      <c r="B508" s="33"/>
      <c r="C508" s="33"/>
      <c r="D508" s="32"/>
      <c r="E508" s="33"/>
      <c r="F508" s="33"/>
      <c r="G508" s="33"/>
    </row>
    <row r="509" ht="15.75" customHeight="1">
      <c r="A509" s="34"/>
      <c r="B509" s="33"/>
      <c r="C509" s="33"/>
      <c r="D509" s="32"/>
      <c r="E509" s="33"/>
      <c r="F509" s="33"/>
      <c r="G509" s="33"/>
    </row>
    <row r="510" ht="15.75" customHeight="1">
      <c r="A510" s="34"/>
      <c r="B510" s="33"/>
      <c r="C510" s="33"/>
      <c r="D510" s="32"/>
      <c r="E510" s="33"/>
      <c r="F510" s="33"/>
      <c r="G510" s="33"/>
    </row>
    <row r="511" ht="15.75" customHeight="1">
      <c r="A511" s="34"/>
      <c r="B511" s="33"/>
      <c r="C511" s="33"/>
      <c r="D511" s="32"/>
      <c r="E511" s="33"/>
      <c r="F511" s="33"/>
      <c r="G511" s="33"/>
    </row>
    <row r="512" ht="15.75" customHeight="1">
      <c r="A512" s="34"/>
      <c r="B512" s="33"/>
      <c r="C512" s="33"/>
      <c r="D512" s="32"/>
      <c r="E512" s="33"/>
      <c r="F512" s="33"/>
      <c r="G512" s="33"/>
    </row>
    <row r="513" ht="15.75" customHeight="1">
      <c r="A513" s="34"/>
      <c r="B513" s="33"/>
      <c r="C513" s="33"/>
      <c r="D513" s="32"/>
      <c r="E513" s="33"/>
      <c r="F513" s="33"/>
      <c r="G513" s="33"/>
    </row>
    <row r="514" ht="15.75" customHeight="1">
      <c r="A514" s="34"/>
      <c r="B514" s="33"/>
      <c r="C514" s="33"/>
      <c r="D514" s="32"/>
      <c r="E514" s="33"/>
      <c r="F514" s="33"/>
      <c r="G514" s="33"/>
    </row>
    <row r="515" ht="15.75" customHeight="1">
      <c r="A515" s="34"/>
      <c r="B515" s="33"/>
      <c r="C515" s="33"/>
      <c r="D515" s="32"/>
      <c r="E515" s="33"/>
      <c r="F515" s="33"/>
      <c r="G515" s="33"/>
    </row>
    <row r="516" ht="15.75" customHeight="1">
      <c r="A516" s="34"/>
      <c r="B516" s="33"/>
      <c r="C516" s="33"/>
      <c r="D516" s="32"/>
      <c r="E516" s="33"/>
      <c r="F516" s="33"/>
      <c r="G516" s="33"/>
    </row>
    <row r="517" ht="15.75" customHeight="1">
      <c r="A517" s="34"/>
      <c r="B517" s="33"/>
      <c r="C517" s="33"/>
      <c r="D517" s="32"/>
      <c r="E517" s="33"/>
      <c r="F517" s="33"/>
      <c r="G517" s="33"/>
    </row>
    <row r="518" ht="15.75" customHeight="1">
      <c r="A518" s="34"/>
      <c r="B518" s="33"/>
      <c r="C518" s="33"/>
      <c r="D518" s="32"/>
      <c r="E518" s="33"/>
      <c r="F518" s="33"/>
      <c r="G518" s="33"/>
    </row>
    <row r="519" ht="15.75" customHeight="1">
      <c r="A519" s="34"/>
      <c r="B519" s="33"/>
      <c r="C519" s="33"/>
      <c r="D519" s="32"/>
      <c r="E519" s="33"/>
      <c r="F519" s="33"/>
      <c r="G519" s="33"/>
    </row>
    <row r="520" ht="15.75" customHeight="1">
      <c r="A520" s="34"/>
      <c r="B520" s="33"/>
      <c r="C520" s="33"/>
      <c r="D520" s="32"/>
      <c r="E520" s="33"/>
      <c r="F520" s="33"/>
      <c r="G520" s="33"/>
    </row>
    <row r="521" ht="15.75" customHeight="1">
      <c r="A521" s="34"/>
      <c r="B521" s="33"/>
      <c r="C521" s="33"/>
      <c r="D521" s="32"/>
      <c r="E521" s="33"/>
      <c r="F521" s="33"/>
      <c r="G521" s="33"/>
    </row>
    <row r="522" ht="15.75" customHeight="1">
      <c r="A522" s="34"/>
      <c r="B522" s="33"/>
      <c r="C522" s="33"/>
      <c r="D522" s="32"/>
      <c r="E522" s="33"/>
      <c r="F522" s="33"/>
      <c r="G522" s="33"/>
    </row>
    <row r="523" ht="15.75" customHeight="1">
      <c r="A523" s="34"/>
      <c r="B523" s="33"/>
      <c r="C523" s="33"/>
      <c r="D523" s="32"/>
      <c r="E523" s="33"/>
      <c r="F523" s="33"/>
      <c r="G523" s="33"/>
    </row>
    <row r="524" ht="15.75" customHeight="1">
      <c r="A524" s="34"/>
      <c r="B524" s="33"/>
      <c r="C524" s="33"/>
      <c r="D524" s="32"/>
      <c r="E524" s="33"/>
      <c r="F524" s="33"/>
      <c r="G524" s="33"/>
    </row>
    <row r="525" ht="15.75" customHeight="1">
      <c r="A525" s="34"/>
      <c r="B525" s="33"/>
      <c r="C525" s="33"/>
      <c r="D525" s="32"/>
      <c r="E525" s="33"/>
      <c r="F525" s="33"/>
      <c r="G525" s="33"/>
    </row>
    <row r="526" ht="15.75" customHeight="1">
      <c r="A526" s="34"/>
      <c r="B526" s="33"/>
      <c r="C526" s="33"/>
      <c r="D526" s="32"/>
      <c r="E526" s="33"/>
      <c r="F526" s="33"/>
      <c r="G526" s="33"/>
    </row>
    <row r="527" ht="15.75" customHeight="1">
      <c r="A527" s="34"/>
      <c r="B527" s="33"/>
      <c r="C527" s="33"/>
      <c r="D527" s="32"/>
      <c r="E527" s="33"/>
      <c r="F527" s="33"/>
      <c r="G527" s="33"/>
    </row>
    <row r="528" ht="15.75" customHeight="1">
      <c r="A528" s="34"/>
      <c r="B528" s="33"/>
      <c r="C528" s="33"/>
      <c r="D528" s="32"/>
      <c r="E528" s="33"/>
      <c r="F528" s="33"/>
      <c r="G528" s="33"/>
    </row>
    <row r="529" ht="15.75" customHeight="1">
      <c r="A529" s="34"/>
      <c r="B529" s="33"/>
      <c r="C529" s="33"/>
      <c r="D529" s="32"/>
      <c r="E529" s="33"/>
      <c r="F529" s="33"/>
      <c r="G529" s="33"/>
    </row>
    <row r="530" ht="15.75" customHeight="1">
      <c r="A530" s="34"/>
      <c r="B530" s="33"/>
      <c r="C530" s="33"/>
      <c r="D530" s="32"/>
      <c r="E530" s="33"/>
      <c r="F530" s="33"/>
      <c r="G530" s="33"/>
    </row>
    <row r="531" ht="15.75" customHeight="1">
      <c r="A531" s="34"/>
      <c r="B531" s="33"/>
      <c r="C531" s="33"/>
      <c r="D531" s="32"/>
      <c r="E531" s="33"/>
      <c r="F531" s="33"/>
      <c r="G531" s="33"/>
    </row>
    <row r="532" ht="15.75" customHeight="1">
      <c r="A532" s="34"/>
      <c r="B532" s="33"/>
      <c r="C532" s="33"/>
      <c r="D532" s="32"/>
      <c r="E532" s="33"/>
      <c r="F532" s="33"/>
      <c r="G532" s="33"/>
    </row>
    <row r="533" ht="15.75" customHeight="1">
      <c r="A533" s="34"/>
      <c r="B533" s="33"/>
      <c r="C533" s="33"/>
      <c r="D533" s="32"/>
      <c r="E533" s="33"/>
      <c r="F533" s="33"/>
      <c r="G533" s="33"/>
    </row>
    <row r="534" ht="15.75" customHeight="1">
      <c r="A534" s="34"/>
      <c r="B534" s="33"/>
      <c r="C534" s="33"/>
      <c r="D534" s="32"/>
      <c r="E534" s="33"/>
      <c r="F534" s="33"/>
      <c r="G534" s="33"/>
    </row>
    <row r="535" ht="15.75" customHeight="1">
      <c r="A535" s="34"/>
      <c r="B535" s="33"/>
      <c r="C535" s="33"/>
      <c r="D535" s="32"/>
      <c r="E535" s="33"/>
      <c r="F535" s="33"/>
      <c r="G535" s="33"/>
    </row>
    <row r="536" ht="15.75" customHeight="1">
      <c r="A536" s="34"/>
      <c r="B536" s="33"/>
      <c r="C536" s="33"/>
      <c r="D536" s="32"/>
      <c r="E536" s="33"/>
      <c r="F536" s="33"/>
      <c r="G536" s="33"/>
    </row>
    <row r="537" ht="15.75" customHeight="1">
      <c r="A537" s="34"/>
      <c r="B537" s="33"/>
      <c r="C537" s="33"/>
      <c r="D537" s="32"/>
      <c r="E537" s="33"/>
      <c r="F537" s="33"/>
      <c r="G537" s="33"/>
    </row>
    <row r="538" ht="15.75" customHeight="1">
      <c r="A538" s="34"/>
      <c r="B538" s="33"/>
      <c r="C538" s="33"/>
      <c r="D538" s="32"/>
      <c r="E538" s="33"/>
      <c r="F538" s="33"/>
      <c r="G538" s="33"/>
    </row>
    <row r="539" ht="15.75" customHeight="1">
      <c r="A539" s="34"/>
      <c r="B539" s="33"/>
      <c r="C539" s="33"/>
      <c r="D539" s="32"/>
      <c r="E539" s="33"/>
      <c r="F539" s="33"/>
      <c r="G539" s="33"/>
    </row>
    <row r="540" ht="15.75" customHeight="1">
      <c r="A540" s="34"/>
      <c r="B540" s="33"/>
      <c r="C540" s="33"/>
      <c r="D540" s="32"/>
      <c r="E540" s="33"/>
      <c r="F540" s="33"/>
      <c r="G540" s="33"/>
    </row>
    <row r="541" ht="15.75" customHeight="1">
      <c r="A541" s="34"/>
      <c r="B541" s="33"/>
      <c r="C541" s="33"/>
      <c r="D541" s="32"/>
      <c r="E541" s="33"/>
      <c r="F541" s="33"/>
      <c r="G541" s="33"/>
    </row>
    <row r="542" ht="15.75" customHeight="1">
      <c r="A542" s="34"/>
      <c r="B542" s="33"/>
      <c r="C542" s="33"/>
      <c r="D542" s="32"/>
      <c r="E542" s="33"/>
      <c r="F542" s="33"/>
      <c r="G542" s="33"/>
    </row>
    <row r="543" ht="15.75" customHeight="1">
      <c r="A543" s="34"/>
      <c r="B543" s="33"/>
      <c r="C543" s="33"/>
      <c r="D543" s="32"/>
      <c r="E543" s="33"/>
      <c r="F543" s="33"/>
      <c r="G543" s="33"/>
    </row>
    <row r="544" ht="15.75" customHeight="1">
      <c r="A544" s="34"/>
      <c r="B544" s="33"/>
      <c r="C544" s="33"/>
      <c r="D544" s="32"/>
      <c r="E544" s="33"/>
      <c r="F544" s="33"/>
      <c r="G544" s="33"/>
    </row>
    <row r="545" ht="15.75" customHeight="1">
      <c r="A545" s="34"/>
      <c r="B545" s="33"/>
      <c r="C545" s="33"/>
      <c r="D545" s="32"/>
      <c r="E545" s="33"/>
      <c r="F545" s="33"/>
      <c r="G545" s="33"/>
    </row>
    <row r="546" ht="15.75" customHeight="1">
      <c r="A546" s="34"/>
      <c r="B546" s="33"/>
      <c r="C546" s="33"/>
      <c r="D546" s="32"/>
      <c r="E546" s="33"/>
      <c r="F546" s="33"/>
      <c r="G546" s="33"/>
    </row>
    <row r="547" ht="15.75" customHeight="1">
      <c r="A547" s="34"/>
      <c r="B547" s="33"/>
      <c r="C547" s="33"/>
      <c r="D547" s="32"/>
      <c r="E547" s="33"/>
      <c r="F547" s="33"/>
      <c r="G547" s="33"/>
    </row>
    <row r="548" ht="15.75" customHeight="1">
      <c r="A548" s="34"/>
      <c r="B548" s="33"/>
      <c r="C548" s="33"/>
      <c r="D548" s="32"/>
      <c r="E548" s="33"/>
      <c r="F548" s="33"/>
      <c r="G548" s="33"/>
    </row>
    <row r="549" ht="15.75" customHeight="1">
      <c r="A549" s="34"/>
      <c r="B549" s="33"/>
      <c r="C549" s="33"/>
      <c r="D549" s="32"/>
      <c r="E549" s="33"/>
      <c r="F549" s="33"/>
      <c r="G549" s="33"/>
    </row>
    <row r="550" ht="15.75" customHeight="1">
      <c r="A550" s="34"/>
      <c r="B550" s="33"/>
      <c r="C550" s="33"/>
      <c r="D550" s="32"/>
      <c r="E550" s="33"/>
      <c r="F550" s="33"/>
      <c r="G550" s="33"/>
    </row>
    <row r="551" ht="15.75" customHeight="1">
      <c r="A551" s="34"/>
      <c r="B551" s="33"/>
      <c r="C551" s="33"/>
      <c r="D551" s="32"/>
      <c r="E551" s="33"/>
      <c r="F551" s="33"/>
      <c r="G551" s="33"/>
    </row>
    <row r="552" ht="15.75" customHeight="1">
      <c r="A552" s="34"/>
      <c r="B552" s="33"/>
      <c r="C552" s="33"/>
      <c r="D552" s="32"/>
      <c r="E552" s="33"/>
      <c r="F552" s="33"/>
      <c r="G552" s="33"/>
    </row>
    <row r="553" ht="15.75" customHeight="1">
      <c r="A553" s="34"/>
      <c r="B553" s="33"/>
      <c r="C553" s="33"/>
      <c r="D553" s="32"/>
      <c r="E553" s="33"/>
      <c r="F553" s="33"/>
      <c r="G553" s="33"/>
    </row>
    <row r="554" ht="15.75" customHeight="1">
      <c r="A554" s="34"/>
      <c r="B554" s="33"/>
      <c r="C554" s="33"/>
      <c r="D554" s="32"/>
      <c r="E554" s="33"/>
      <c r="F554" s="33"/>
      <c r="G554" s="33"/>
    </row>
    <row r="555" ht="15.75" customHeight="1">
      <c r="A555" s="34"/>
      <c r="B555" s="33"/>
      <c r="C555" s="33"/>
      <c r="D555" s="32"/>
      <c r="E555" s="33"/>
      <c r="F555" s="33"/>
      <c r="G555" s="33"/>
    </row>
    <row r="556" ht="15.75" customHeight="1">
      <c r="A556" s="34"/>
      <c r="B556" s="33"/>
      <c r="C556" s="33"/>
      <c r="D556" s="32"/>
      <c r="E556" s="33"/>
      <c r="F556" s="33"/>
      <c r="G556" s="33"/>
    </row>
    <row r="557" ht="15.75" customHeight="1">
      <c r="A557" s="34"/>
      <c r="B557" s="33"/>
      <c r="C557" s="33"/>
      <c r="D557" s="32"/>
      <c r="E557" s="33"/>
      <c r="F557" s="33"/>
      <c r="G557" s="33"/>
    </row>
    <row r="558" ht="15.75" customHeight="1">
      <c r="A558" s="34"/>
      <c r="B558" s="33"/>
      <c r="C558" s="33"/>
      <c r="D558" s="32"/>
      <c r="E558" s="33"/>
      <c r="F558" s="33"/>
      <c r="G558" s="33"/>
    </row>
    <row r="559" ht="15.75" customHeight="1">
      <c r="A559" s="34"/>
      <c r="B559" s="33"/>
      <c r="C559" s="33"/>
      <c r="D559" s="32"/>
      <c r="E559" s="33"/>
      <c r="F559" s="33"/>
      <c r="G559" s="33"/>
    </row>
    <row r="560" ht="15.75" customHeight="1">
      <c r="A560" s="34"/>
      <c r="B560" s="33"/>
      <c r="C560" s="33"/>
      <c r="D560" s="32"/>
      <c r="E560" s="33"/>
      <c r="F560" s="33"/>
      <c r="G560" s="33"/>
    </row>
    <row r="561" ht="15.75" customHeight="1">
      <c r="A561" s="34"/>
      <c r="B561" s="33"/>
      <c r="C561" s="33"/>
      <c r="D561" s="32"/>
      <c r="E561" s="33"/>
      <c r="F561" s="33"/>
      <c r="G561" s="33"/>
    </row>
    <row r="562" ht="15.75" customHeight="1">
      <c r="A562" s="34"/>
      <c r="B562" s="33"/>
      <c r="C562" s="33"/>
      <c r="D562" s="32"/>
      <c r="E562" s="33"/>
      <c r="F562" s="33"/>
      <c r="G562" s="33"/>
    </row>
    <row r="563" ht="15.75" customHeight="1">
      <c r="A563" s="34"/>
      <c r="B563" s="33"/>
      <c r="C563" s="33"/>
      <c r="D563" s="32"/>
      <c r="E563" s="33"/>
      <c r="F563" s="33"/>
      <c r="G563" s="33"/>
    </row>
    <row r="564" ht="15.75" customHeight="1">
      <c r="A564" s="34"/>
      <c r="B564" s="33"/>
      <c r="C564" s="33"/>
      <c r="D564" s="32"/>
      <c r="E564" s="33"/>
      <c r="F564" s="33"/>
      <c r="G564" s="33"/>
    </row>
    <row r="565" ht="15.75" customHeight="1">
      <c r="A565" s="34"/>
      <c r="B565" s="33"/>
      <c r="C565" s="33"/>
      <c r="D565" s="32"/>
      <c r="E565" s="33"/>
      <c r="F565" s="33"/>
      <c r="G565" s="33"/>
    </row>
    <row r="566" ht="15.75" customHeight="1">
      <c r="A566" s="34"/>
      <c r="B566" s="33"/>
      <c r="C566" s="33"/>
      <c r="D566" s="32"/>
      <c r="E566" s="33"/>
      <c r="F566" s="33"/>
      <c r="G566" s="33"/>
    </row>
    <row r="567" ht="15.75" customHeight="1">
      <c r="A567" s="34"/>
      <c r="B567" s="33"/>
      <c r="C567" s="33"/>
      <c r="D567" s="32"/>
      <c r="E567" s="33"/>
      <c r="F567" s="33"/>
      <c r="G567" s="33"/>
    </row>
    <row r="568" ht="15.75" customHeight="1">
      <c r="A568" s="34"/>
      <c r="B568" s="33"/>
      <c r="C568" s="33"/>
      <c r="D568" s="32"/>
      <c r="E568" s="33"/>
      <c r="F568" s="33"/>
      <c r="G568" s="33"/>
    </row>
    <row r="569" ht="15.75" customHeight="1">
      <c r="A569" s="34"/>
      <c r="B569" s="33"/>
      <c r="C569" s="33"/>
      <c r="D569" s="32"/>
      <c r="E569" s="33"/>
      <c r="F569" s="33"/>
      <c r="G569" s="33"/>
    </row>
    <row r="570" ht="15.75" customHeight="1">
      <c r="A570" s="34"/>
      <c r="B570" s="33"/>
      <c r="C570" s="33"/>
      <c r="D570" s="32"/>
      <c r="E570" s="33"/>
      <c r="F570" s="33"/>
      <c r="G570" s="33"/>
    </row>
    <row r="571" ht="15.75" customHeight="1">
      <c r="A571" s="34"/>
      <c r="B571" s="33"/>
      <c r="C571" s="33"/>
      <c r="D571" s="32"/>
      <c r="E571" s="33"/>
      <c r="F571" s="33"/>
      <c r="G571" s="33"/>
    </row>
    <row r="572" ht="15.75" customHeight="1">
      <c r="A572" s="34"/>
      <c r="B572" s="33"/>
      <c r="C572" s="33"/>
      <c r="D572" s="32"/>
      <c r="E572" s="33"/>
      <c r="F572" s="33"/>
      <c r="G572" s="33"/>
    </row>
    <row r="573" ht="15.75" customHeight="1">
      <c r="A573" s="34"/>
      <c r="B573" s="33"/>
      <c r="C573" s="33"/>
      <c r="D573" s="32"/>
      <c r="E573" s="33"/>
      <c r="F573" s="33"/>
      <c r="G573" s="10"/>
    </row>
    <row r="574" ht="15.75" customHeight="1">
      <c r="A574" s="34"/>
      <c r="B574" s="33"/>
      <c r="C574" s="33"/>
      <c r="D574" s="32"/>
      <c r="E574" s="33"/>
      <c r="F574" s="33"/>
      <c r="G574" s="10"/>
    </row>
    <row r="575" ht="15.75" customHeight="1">
      <c r="A575" s="34"/>
      <c r="B575" s="33"/>
      <c r="C575" s="33"/>
      <c r="D575" s="32"/>
      <c r="E575" s="33"/>
      <c r="F575" s="33"/>
      <c r="G575" s="10"/>
    </row>
    <row r="576" ht="15.75" customHeight="1">
      <c r="A576" s="34"/>
      <c r="B576" s="33"/>
      <c r="C576" s="33"/>
      <c r="D576" s="32"/>
      <c r="E576" s="33"/>
      <c r="F576" s="33"/>
      <c r="G576" s="10"/>
    </row>
    <row r="577" ht="15.75" customHeight="1">
      <c r="A577" s="34"/>
      <c r="B577" s="33"/>
      <c r="C577" s="33"/>
      <c r="D577" s="32"/>
      <c r="E577" s="33"/>
      <c r="F577" s="33"/>
      <c r="G577" s="10"/>
    </row>
    <row r="578" ht="15.75" customHeight="1">
      <c r="A578" s="34"/>
      <c r="B578" s="33"/>
      <c r="C578" s="33"/>
      <c r="D578" s="32"/>
      <c r="E578" s="33"/>
      <c r="F578" s="33"/>
      <c r="G578" s="10"/>
    </row>
    <row r="579" ht="15.75" customHeight="1">
      <c r="A579" s="34"/>
      <c r="B579" s="33"/>
      <c r="C579" s="33"/>
      <c r="D579" s="32"/>
      <c r="E579" s="33"/>
      <c r="F579" s="33"/>
      <c r="G579" s="10"/>
    </row>
    <row r="580" ht="15.75" customHeight="1">
      <c r="A580" s="34"/>
      <c r="B580" s="33"/>
      <c r="C580" s="33"/>
      <c r="D580" s="32"/>
      <c r="E580" s="33"/>
      <c r="F580" s="33"/>
      <c r="G580" s="10"/>
    </row>
    <row r="581" ht="15.75" customHeight="1">
      <c r="A581" s="34"/>
      <c r="B581" s="33"/>
      <c r="C581" s="33"/>
      <c r="D581" s="32"/>
      <c r="E581" s="33"/>
      <c r="F581" s="33"/>
      <c r="G581" s="10"/>
    </row>
    <row r="582" ht="15.75" customHeight="1">
      <c r="A582" s="34"/>
      <c r="B582" s="33"/>
      <c r="C582" s="33"/>
      <c r="D582" s="32"/>
      <c r="E582" s="33"/>
      <c r="F582" s="33"/>
      <c r="G582" s="10"/>
    </row>
    <row r="583" ht="15.75" customHeight="1">
      <c r="A583" s="34"/>
      <c r="B583" s="33"/>
      <c r="C583" s="33"/>
      <c r="D583" s="32"/>
      <c r="E583" s="33"/>
      <c r="F583" s="33"/>
      <c r="G583" s="10"/>
    </row>
    <row r="584" ht="15.75" customHeight="1">
      <c r="A584" s="34"/>
      <c r="B584" s="33"/>
      <c r="C584" s="33"/>
      <c r="D584" s="32"/>
      <c r="E584" s="33"/>
      <c r="F584" s="33"/>
      <c r="G584" s="10"/>
    </row>
    <row r="585" ht="15.75" customHeight="1">
      <c r="A585" s="34"/>
      <c r="B585" s="33"/>
      <c r="C585" s="33"/>
      <c r="D585" s="32"/>
      <c r="E585" s="33"/>
      <c r="F585" s="33"/>
      <c r="G585" s="10"/>
    </row>
    <row r="586" ht="15.75" customHeight="1">
      <c r="A586" s="34"/>
      <c r="B586" s="33"/>
      <c r="C586" s="33"/>
      <c r="D586" s="32"/>
      <c r="E586" s="33"/>
      <c r="F586" s="33"/>
      <c r="G586" s="10"/>
    </row>
    <row r="587" ht="15.75" customHeight="1">
      <c r="A587" s="34"/>
      <c r="B587" s="33"/>
      <c r="C587" s="33"/>
      <c r="D587" s="32"/>
      <c r="E587" s="33"/>
      <c r="F587" s="33"/>
      <c r="G587" s="10"/>
    </row>
    <row r="588" ht="15.75" customHeight="1">
      <c r="A588" s="34"/>
      <c r="B588" s="33"/>
      <c r="C588" s="33"/>
      <c r="D588" s="32"/>
      <c r="E588" s="33"/>
      <c r="F588" s="33"/>
      <c r="G588" s="10"/>
    </row>
    <row r="589" ht="15.75" customHeight="1">
      <c r="A589" s="34"/>
      <c r="B589" s="33"/>
      <c r="C589" s="33"/>
      <c r="D589" s="32"/>
      <c r="E589" s="33"/>
      <c r="F589" s="33"/>
      <c r="G589" s="10"/>
    </row>
    <row r="590" ht="15.75" customHeight="1">
      <c r="A590" s="34"/>
      <c r="B590" s="33"/>
      <c r="C590" s="33"/>
      <c r="D590" s="32"/>
      <c r="E590" s="33"/>
      <c r="F590" s="33"/>
      <c r="G590" s="10"/>
    </row>
    <row r="591" ht="15.75" customHeight="1">
      <c r="A591" s="34"/>
      <c r="B591" s="33"/>
      <c r="C591" s="33"/>
      <c r="D591" s="32"/>
      <c r="E591" s="33"/>
      <c r="F591" s="33"/>
      <c r="G591" s="10"/>
    </row>
    <row r="592" ht="15.75" customHeight="1">
      <c r="A592" s="34"/>
      <c r="B592" s="33"/>
      <c r="C592" s="33"/>
      <c r="D592" s="32"/>
      <c r="E592" s="33"/>
      <c r="F592" s="33"/>
      <c r="G592" s="10"/>
    </row>
    <row r="593" ht="15.75" customHeight="1">
      <c r="A593" s="34"/>
      <c r="B593" s="33"/>
      <c r="C593" s="33"/>
      <c r="D593" s="32"/>
      <c r="E593" s="33"/>
      <c r="F593" s="33"/>
      <c r="G593" s="10"/>
    </row>
    <row r="594" ht="15.75" customHeight="1">
      <c r="A594" s="34"/>
      <c r="B594" s="33"/>
      <c r="C594" s="33"/>
      <c r="D594" s="32"/>
      <c r="E594" s="33"/>
      <c r="F594" s="33"/>
      <c r="G594" s="10"/>
    </row>
    <row r="595" ht="15.75" customHeight="1">
      <c r="A595" s="34"/>
      <c r="B595" s="33"/>
      <c r="C595" s="33"/>
      <c r="D595" s="32"/>
      <c r="E595" s="33"/>
      <c r="F595" s="33"/>
      <c r="G595" s="10"/>
    </row>
    <row r="596" ht="15.75" customHeight="1">
      <c r="A596" s="34"/>
      <c r="B596" s="33"/>
      <c r="C596" s="33"/>
      <c r="D596" s="32"/>
      <c r="E596" s="33"/>
      <c r="F596" s="33"/>
      <c r="G596" s="10"/>
    </row>
    <row r="597" ht="15.75" customHeight="1">
      <c r="A597" s="34"/>
      <c r="B597" s="33"/>
      <c r="C597" s="33"/>
      <c r="D597" s="32"/>
      <c r="E597" s="33"/>
      <c r="F597" s="33"/>
      <c r="G597" s="10"/>
    </row>
    <row r="598" ht="15.75" customHeight="1">
      <c r="A598" s="34"/>
      <c r="B598" s="33"/>
      <c r="C598" s="33"/>
      <c r="D598" s="32"/>
      <c r="E598" s="33"/>
      <c r="F598" s="33"/>
      <c r="G598" s="10"/>
    </row>
    <row r="599" ht="15.75" customHeight="1">
      <c r="A599" s="34"/>
      <c r="B599" s="33"/>
      <c r="C599" s="33"/>
      <c r="D599" s="32"/>
      <c r="E599" s="33"/>
      <c r="F599" s="33"/>
      <c r="G599" s="10"/>
    </row>
    <row r="600" ht="15.75" customHeight="1">
      <c r="A600" s="34"/>
      <c r="B600" s="33"/>
      <c r="C600" s="33"/>
      <c r="D600" s="32"/>
      <c r="E600" s="33"/>
      <c r="F600" s="33"/>
      <c r="G600" s="10"/>
    </row>
    <row r="601" ht="15.75" customHeight="1">
      <c r="A601" s="34"/>
      <c r="B601" s="33"/>
      <c r="C601" s="33"/>
      <c r="D601" s="32"/>
      <c r="E601" s="33"/>
      <c r="F601" s="33"/>
      <c r="G601" s="10"/>
    </row>
    <row r="602" ht="15.75" customHeight="1">
      <c r="A602" s="34"/>
      <c r="B602" s="33"/>
      <c r="C602" s="33"/>
      <c r="D602" s="32"/>
      <c r="E602" s="33"/>
      <c r="F602" s="33"/>
      <c r="G602" s="10"/>
    </row>
    <row r="603" ht="15.75" customHeight="1">
      <c r="A603" s="34"/>
      <c r="B603" s="33"/>
      <c r="C603" s="33"/>
      <c r="D603" s="32"/>
      <c r="E603" s="33"/>
      <c r="F603" s="33"/>
      <c r="G603" s="10"/>
    </row>
    <row r="604" ht="15.75" customHeight="1">
      <c r="A604" s="34"/>
      <c r="B604" s="33"/>
      <c r="C604" s="33"/>
      <c r="D604" s="32"/>
      <c r="E604" s="33"/>
      <c r="F604" s="33"/>
      <c r="G604" s="10"/>
    </row>
    <row r="605" ht="15.75" customHeight="1">
      <c r="A605" s="34"/>
      <c r="B605" s="33"/>
      <c r="C605" s="33"/>
      <c r="D605" s="32"/>
      <c r="E605" s="33"/>
      <c r="F605" s="33"/>
      <c r="G605" s="10"/>
    </row>
    <row r="606" ht="15.75" customHeight="1">
      <c r="A606" s="34"/>
      <c r="B606" s="33"/>
      <c r="C606" s="33"/>
      <c r="D606" s="32"/>
      <c r="E606" s="33"/>
      <c r="F606" s="33"/>
      <c r="G606" s="10"/>
    </row>
    <row r="607" ht="15.75" customHeight="1">
      <c r="A607" s="34"/>
      <c r="B607" s="33"/>
      <c r="C607" s="33"/>
      <c r="D607" s="32"/>
      <c r="E607" s="33"/>
      <c r="F607" s="33"/>
      <c r="G607" s="10"/>
    </row>
    <row r="608" ht="15.75" customHeight="1">
      <c r="A608" s="34"/>
      <c r="B608" s="33"/>
      <c r="C608" s="33"/>
      <c r="D608" s="32"/>
      <c r="E608" s="33"/>
      <c r="F608" s="33"/>
      <c r="G608" s="10"/>
    </row>
    <row r="609" ht="15.75" customHeight="1">
      <c r="A609" s="34"/>
      <c r="B609" s="33"/>
      <c r="C609" s="33"/>
      <c r="D609" s="32"/>
      <c r="E609" s="33"/>
      <c r="F609" s="33"/>
      <c r="G609" s="10"/>
    </row>
    <row r="610" ht="15.75" customHeight="1">
      <c r="A610" s="34"/>
      <c r="B610" s="33"/>
      <c r="C610" s="33"/>
      <c r="D610" s="32"/>
      <c r="E610" s="33"/>
      <c r="F610" s="33"/>
      <c r="G610" s="10"/>
    </row>
    <row r="611" ht="15.75" customHeight="1">
      <c r="A611" s="34"/>
      <c r="B611" s="33"/>
      <c r="C611" s="33"/>
      <c r="D611" s="32"/>
      <c r="E611" s="33"/>
      <c r="F611" s="33"/>
      <c r="G611" s="10"/>
    </row>
    <row r="612" ht="15.75" customHeight="1">
      <c r="A612" s="34"/>
      <c r="B612" s="33"/>
      <c r="C612" s="33"/>
      <c r="D612" s="32"/>
      <c r="E612" s="33"/>
      <c r="F612" s="33"/>
      <c r="G612" s="10"/>
    </row>
    <row r="613" ht="15.75" customHeight="1">
      <c r="A613" s="34"/>
      <c r="B613" s="33"/>
      <c r="C613" s="33"/>
      <c r="D613" s="32"/>
      <c r="E613" s="33"/>
      <c r="F613" s="33"/>
      <c r="G613" s="10"/>
    </row>
    <row r="614" ht="15.75" customHeight="1">
      <c r="A614" s="34"/>
      <c r="B614" s="33"/>
      <c r="C614" s="33"/>
      <c r="D614" s="32"/>
      <c r="E614" s="33"/>
      <c r="F614" s="33"/>
      <c r="G614" s="10"/>
    </row>
    <row r="615" ht="15.75" customHeight="1">
      <c r="A615" s="34"/>
      <c r="B615" s="33"/>
      <c r="C615" s="33"/>
      <c r="D615" s="32"/>
      <c r="E615" s="33"/>
      <c r="F615" s="33"/>
      <c r="G615" s="10"/>
    </row>
    <row r="616" ht="15.75" customHeight="1">
      <c r="A616" s="34"/>
      <c r="B616" s="33"/>
      <c r="C616" s="33"/>
      <c r="D616" s="32"/>
      <c r="E616" s="33"/>
      <c r="F616" s="33"/>
      <c r="G616" s="10"/>
    </row>
    <row r="617" ht="15.75" customHeight="1">
      <c r="A617" s="34"/>
      <c r="B617" s="33"/>
      <c r="C617" s="33"/>
      <c r="D617" s="32"/>
      <c r="E617" s="33"/>
      <c r="F617" s="33"/>
      <c r="G617" s="10"/>
    </row>
    <row r="618" ht="15.75" customHeight="1">
      <c r="A618" s="34"/>
      <c r="B618" s="33"/>
      <c r="C618" s="33"/>
      <c r="D618" s="32"/>
      <c r="E618" s="33"/>
      <c r="F618" s="33"/>
      <c r="G618" s="10"/>
    </row>
    <row r="619" ht="15.75" customHeight="1">
      <c r="A619" s="34"/>
      <c r="B619" s="33"/>
      <c r="C619" s="33"/>
      <c r="D619" s="32"/>
      <c r="E619" s="33"/>
      <c r="F619" s="33"/>
      <c r="G619" s="10"/>
    </row>
    <row r="620" ht="15.75" customHeight="1">
      <c r="A620" s="34"/>
      <c r="B620" s="33"/>
      <c r="C620" s="33"/>
      <c r="D620" s="32"/>
      <c r="E620" s="33"/>
      <c r="F620" s="33"/>
      <c r="G620" s="10"/>
    </row>
    <row r="621" ht="15.75" customHeight="1">
      <c r="A621" s="34"/>
      <c r="B621" s="33"/>
      <c r="C621" s="33"/>
      <c r="D621" s="32"/>
      <c r="E621" s="33"/>
      <c r="F621" s="33"/>
      <c r="G621" s="10"/>
    </row>
    <row r="622" ht="15.75" customHeight="1">
      <c r="A622" s="34"/>
      <c r="B622" s="33"/>
      <c r="C622" s="33"/>
      <c r="D622" s="32"/>
      <c r="E622" s="33"/>
      <c r="F622" s="33"/>
      <c r="G622" s="10"/>
    </row>
    <row r="623" ht="15.75" customHeight="1">
      <c r="A623" s="34"/>
      <c r="B623" s="33"/>
      <c r="C623" s="33"/>
      <c r="D623" s="32"/>
      <c r="E623" s="33"/>
      <c r="F623" s="33"/>
      <c r="G623" s="10"/>
    </row>
    <row r="624" ht="15.75" customHeight="1">
      <c r="A624" s="34"/>
      <c r="B624" s="33"/>
      <c r="C624" s="33"/>
      <c r="D624" s="32"/>
      <c r="E624" s="33"/>
      <c r="F624" s="33"/>
      <c r="G624" s="10"/>
    </row>
    <row r="625" ht="15.75" customHeight="1">
      <c r="A625" s="34"/>
      <c r="B625" s="33"/>
      <c r="C625" s="33"/>
      <c r="D625" s="32"/>
      <c r="E625" s="33"/>
      <c r="F625" s="33"/>
      <c r="G625" s="10"/>
    </row>
    <row r="626" ht="15.75" customHeight="1">
      <c r="A626" s="34"/>
      <c r="B626" s="33"/>
      <c r="C626" s="33"/>
      <c r="D626" s="32"/>
      <c r="E626" s="33"/>
      <c r="F626" s="33"/>
      <c r="G626" s="10"/>
    </row>
    <row r="627" ht="15.75" customHeight="1">
      <c r="A627" s="34"/>
      <c r="B627" s="33"/>
      <c r="C627" s="33"/>
      <c r="D627" s="32"/>
      <c r="E627" s="33"/>
      <c r="F627" s="33"/>
      <c r="G627" s="10"/>
    </row>
    <row r="628" ht="15.75" customHeight="1">
      <c r="A628" s="34"/>
      <c r="B628" s="33"/>
      <c r="C628" s="33"/>
      <c r="D628" s="32"/>
      <c r="E628" s="33"/>
      <c r="F628" s="33"/>
      <c r="G628" s="10"/>
    </row>
    <row r="629" ht="15.75" customHeight="1">
      <c r="A629" s="34"/>
      <c r="B629" s="33"/>
      <c r="C629" s="33"/>
      <c r="D629" s="32"/>
      <c r="E629" s="33"/>
      <c r="F629" s="33"/>
      <c r="G629" s="10"/>
    </row>
    <row r="630" ht="15.75" customHeight="1">
      <c r="A630" s="34"/>
      <c r="B630" s="33"/>
      <c r="C630" s="33"/>
      <c r="D630" s="32"/>
      <c r="E630" s="33"/>
      <c r="F630" s="33"/>
      <c r="G630" s="10"/>
    </row>
    <row r="631" ht="15.75" customHeight="1">
      <c r="A631" s="34"/>
      <c r="B631" s="33"/>
      <c r="C631" s="33"/>
      <c r="D631" s="32"/>
      <c r="E631" s="33"/>
      <c r="F631" s="33"/>
      <c r="G631" s="10"/>
    </row>
    <row r="632" ht="15.75" customHeight="1">
      <c r="A632" s="34"/>
      <c r="B632" s="33"/>
      <c r="C632" s="33"/>
      <c r="D632" s="32"/>
      <c r="E632" s="33"/>
      <c r="F632" s="33"/>
      <c r="G632" s="10"/>
    </row>
    <row r="633" ht="15.75" customHeight="1">
      <c r="A633" s="34"/>
      <c r="B633" s="33"/>
      <c r="C633" s="33"/>
      <c r="D633" s="32"/>
      <c r="E633" s="33"/>
      <c r="F633" s="33"/>
      <c r="G633" s="10"/>
    </row>
    <row r="634" ht="15.75" customHeight="1">
      <c r="A634" s="34"/>
      <c r="B634" s="33"/>
      <c r="C634" s="33"/>
      <c r="D634" s="32"/>
      <c r="E634" s="33"/>
      <c r="F634" s="33"/>
      <c r="G634" s="10"/>
    </row>
    <row r="635" ht="15.75" customHeight="1">
      <c r="A635" s="34"/>
      <c r="B635" s="33"/>
      <c r="C635" s="33"/>
      <c r="D635" s="32"/>
      <c r="E635" s="33"/>
      <c r="F635" s="33"/>
      <c r="G635" s="10"/>
    </row>
    <row r="636" ht="15.75" customHeight="1">
      <c r="A636" s="34"/>
      <c r="B636" s="33"/>
      <c r="C636" s="33"/>
      <c r="D636" s="32"/>
      <c r="E636" s="33"/>
      <c r="F636" s="33"/>
      <c r="G636" s="10"/>
    </row>
    <row r="637" ht="15.75" customHeight="1">
      <c r="A637" s="34"/>
      <c r="B637" s="33"/>
      <c r="C637" s="33"/>
      <c r="D637" s="32"/>
      <c r="E637" s="33"/>
      <c r="F637" s="33"/>
      <c r="G637" s="10"/>
    </row>
    <row r="638" ht="15.75" customHeight="1">
      <c r="A638" s="34"/>
      <c r="B638" s="33"/>
      <c r="C638" s="33"/>
      <c r="D638" s="32"/>
      <c r="E638" s="33"/>
      <c r="F638" s="33"/>
      <c r="G638" s="10"/>
    </row>
    <row r="639" ht="15.75" customHeight="1">
      <c r="A639" s="34"/>
      <c r="B639" s="33"/>
      <c r="C639" s="33"/>
      <c r="D639" s="32"/>
      <c r="E639" s="33"/>
      <c r="F639" s="33"/>
      <c r="G639" s="10"/>
    </row>
    <row r="640" ht="15.75" customHeight="1">
      <c r="A640" s="34"/>
      <c r="B640" s="33"/>
      <c r="C640" s="33"/>
      <c r="D640" s="32"/>
      <c r="E640" s="33"/>
      <c r="F640" s="33"/>
      <c r="G640" s="10"/>
    </row>
    <row r="641" ht="15.75" customHeight="1">
      <c r="A641" s="34"/>
      <c r="B641" s="33"/>
      <c r="C641" s="33"/>
      <c r="D641" s="32"/>
      <c r="E641" s="33"/>
      <c r="F641" s="33"/>
      <c r="G641" s="10"/>
    </row>
    <row r="642" ht="15.75" customHeight="1">
      <c r="A642" s="36"/>
      <c r="B642" s="33"/>
      <c r="C642" s="33"/>
      <c r="D642" s="32"/>
      <c r="E642" s="33"/>
      <c r="F642" s="33"/>
    </row>
    <row r="643" ht="15.75" customHeight="1">
      <c r="A643" s="36"/>
      <c r="B643" s="33"/>
      <c r="C643" s="33"/>
      <c r="D643" s="32"/>
      <c r="E643" s="33"/>
      <c r="F643" s="33"/>
    </row>
    <row r="644" ht="15.75" customHeight="1">
      <c r="A644" s="36"/>
      <c r="B644" s="33"/>
      <c r="C644" s="33"/>
      <c r="D644" s="32"/>
      <c r="E644" s="33"/>
      <c r="F644" s="33"/>
    </row>
    <row r="645" ht="15.75" customHeight="1">
      <c r="A645" s="36"/>
      <c r="B645" s="33"/>
      <c r="C645" s="33"/>
      <c r="D645" s="32"/>
      <c r="E645" s="33"/>
      <c r="F645" s="33"/>
    </row>
    <row r="646" ht="15.75" customHeight="1">
      <c r="A646" s="36"/>
      <c r="B646" s="33"/>
      <c r="C646" s="33"/>
      <c r="D646" s="32"/>
      <c r="E646" s="33"/>
      <c r="F646" s="33"/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G2"/>
  </mergeCell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0.0"/>
    <col customWidth="1" min="2" max="2" width="28.0"/>
    <col customWidth="1" min="3" max="3" width="50.0"/>
    <col customWidth="1" min="4" max="26" width="8.71"/>
  </cols>
  <sheetData>
    <row r="1">
      <c r="A1" s="16" t="s">
        <v>306</v>
      </c>
    </row>
    <row r="2">
      <c r="A2" s="4" t="s">
        <v>307</v>
      </c>
    </row>
    <row r="4">
      <c r="A4" s="5" t="s">
        <v>308</v>
      </c>
      <c r="B4" s="5" t="s">
        <v>84</v>
      </c>
      <c r="C4" s="5" t="s">
        <v>213</v>
      </c>
    </row>
    <row r="5">
      <c r="A5" s="37" t="s">
        <v>309</v>
      </c>
      <c r="B5" s="37" t="s">
        <v>310</v>
      </c>
      <c r="C5" s="2" t="s">
        <v>311</v>
      </c>
    </row>
    <row r="6">
      <c r="A6" s="37" t="s">
        <v>312</v>
      </c>
      <c r="B6" s="37" t="s">
        <v>310</v>
      </c>
      <c r="C6" s="2" t="s">
        <v>313</v>
      </c>
    </row>
    <row r="7">
      <c r="A7" s="37" t="s">
        <v>314</v>
      </c>
      <c r="B7" s="37" t="s">
        <v>310</v>
      </c>
      <c r="C7" s="2" t="s">
        <v>315</v>
      </c>
    </row>
    <row r="8">
      <c r="A8" s="37" t="s">
        <v>316</v>
      </c>
      <c r="B8" s="37" t="s">
        <v>310</v>
      </c>
      <c r="C8" s="2" t="s">
        <v>317</v>
      </c>
    </row>
    <row r="9">
      <c r="A9" s="37" t="s">
        <v>318</v>
      </c>
      <c r="B9" s="37" t="s">
        <v>310</v>
      </c>
      <c r="C9" s="2" t="s">
        <v>319</v>
      </c>
    </row>
    <row r="10">
      <c r="A10" s="37" t="s">
        <v>320</v>
      </c>
      <c r="B10" s="37" t="s">
        <v>310</v>
      </c>
      <c r="C10" s="2" t="s">
        <v>321</v>
      </c>
    </row>
    <row r="11">
      <c r="A11" s="37" t="s">
        <v>322</v>
      </c>
      <c r="B11" s="37" t="s">
        <v>310</v>
      </c>
      <c r="C11" s="2" t="s">
        <v>323</v>
      </c>
    </row>
    <row r="12">
      <c r="A12" s="37" t="s">
        <v>324</v>
      </c>
      <c r="B12" s="37" t="s">
        <v>325</v>
      </c>
      <c r="C12" s="2" t="s">
        <v>326</v>
      </c>
    </row>
    <row r="13">
      <c r="A13" s="37" t="s">
        <v>327</v>
      </c>
      <c r="B13" s="37" t="s">
        <v>328</v>
      </c>
      <c r="C13" s="2" t="s">
        <v>329</v>
      </c>
    </row>
    <row r="14">
      <c r="A14" s="37" t="s">
        <v>330</v>
      </c>
      <c r="B14" s="37" t="s">
        <v>331</v>
      </c>
      <c r="C14" s="2" t="s">
        <v>332</v>
      </c>
    </row>
    <row r="15">
      <c r="A15" s="37" t="s">
        <v>333</v>
      </c>
      <c r="B15" s="37" t="s">
        <v>334</v>
      </c>
      <c r="C15" s="2" t="s">
        <v>335</v>
      </c>
    </row>
    <row r="16">
      <c r="A16" s="37" t="s">
        <v>336</v>
      </c>
      <c r="B16" s="37" t="s">
        <v>337</v>
      </c>
      <c r="C16" s="2" t="s">
        <v>338</v>
      </c>
    </row>
    <row r="17">
      <c r="A17" s="37" t="s">
        <v>339</v>
      </c>
      <c r="B17" s="37" t="s">
        <v>337</v>
      </c>
      <c r="C17" s="2" t="s">
        <v>340</v>
      </c>
    </row>
    <row r="18">
      <c r="A18" s="37" t="s">
        <v>341</v>
      </c>
      <c r="B18" s="37" t="s">
        <v>337</v>
      </c>
      <c r="C18" s="2" t="s">
        <v>342</v>
      </c>
    </row>
    <row r="19">
      <c r="A19" s="37" t="s">
        <v>343</v>
      </c>
      <c r="B19" s="37" t="s">
        <v>344</v>
      </c>
      <c r="C19" s="2" t="s">
        <v>345</v>
      </c>
    </row>
    <row r="20">
      <c r="A20" s="37" t="s">
        <v>346</v>
      </c>
      <c r="B20" s="37" t="s">
        <v>347</v>
      </c>
      <c r="C20" s="2" t="s">
        <v>348</v>
      </c>
    </row>
    <row r="21" ht="15.75" customHeight="1">
      <c r="A21" s="37" t="s">
        <v>349</v>
      </c>
      <c r="B21" s="37" t="s">
        <v>350</v>
      </c>
    </row>
    <row r="22" ht="15.75" customHeight="1">
      <c r="A22" s="37" t="s">
        <v>351</v>
      </c>
      <c r="B22" s="37" t="s">
        <v>352</v>
      </c>
    </row>
    <row r="23" ht="15.75" customHeight="1">
      <c r="A23" s="37" t="s">
        <v>353</v>
      </c>
      <c r="B23" s="37" t="s">
        <v>354</v>
      </c>
      <c r="C23" s="2" t="s">
        <v>355</v>
      </c>
    </row>
    <row r="24" ht="15.75" customHeight="1">
      <c r="A24" s="37" t="s">
        <v>356</v>
      </c>
      <c r="B24" s="37" t="s">
        <v>357</v>
      </c>
      <c r="C24" s="2" t="s">
        <v>358</v>
      </c>
    </row>
    <row r="25" ht="15.75" customHeight="1">
      <c r="A25" s="37" t="s">
        <v>359</v>
      </c>
      <c r="B25" s="37" t="s">
        <v>360</v>
      </c>
      <c r="C25" s="10" t="s">
        <v>361</v>
      </c>
    </row>
    <row r="26" ht="15.75" customHeight="1">
      <c r="A26" s="37" t="s">
        <v>362</v>
      </c>
      <c r="B26" s="37" t="s">
        <v>363</v>
      </c>
      <c r="C26" s="10" t="s">
        <v>364</v>
      </c>
    </row>
    <row r="27" ht="15.75" customHeight="1">
      <c r="A27" s="37" t="s">
        <v>365</v>
      </c>
      <c r="B27" s="37" t="s">
        <v>366</v>
      </c>
    </row>
    <row r="28" ht="15.75" customHeight="1">
      <c r="A28" s="37" t="s">
        <v>367</v>
      </c>
      <c r="B28" s="37" t="s">
        <v>368</v>
      </c>
    </row>
    <row r="29" ht="15.75" customHeight="1">
      <c r="A29" s="37" t="s">
        <v>369</v>
      </c>
      <c r="B29" s="37" t="s">
        <v>370</v>
      </c>
    </row>
    <row r="30" ht="15.75" customHeight="1">
      <c r="A30" s="37" t="s">
        <v>371</v>
      </c>
      <c r="B30" s="37" t="s">
        <v>372</v>
      </c>
    </row>
    <row r="31" ht="15.75" customHeight="1">
      <c r="A31" s="37" t="s">
        <v>373</v>
      </c>
      <c r="B31" s="37" t="s">
        <v>374</v>
      </c>
      <c r="C31" s="2" t="s">
        <v>375</v>
      </c>
    </row>
    <row r="32" ht="15.75" customHeight="1">
      <c r="A32" s="38" t="s">
        <v>376</v>
      </c>
      <c r="B32" s="37" t="s">
        <v>158</v>
      </c>
    </row>
    <row r="33" ht="15.75" customHeight="1">
      <c r="A33" s="38" t="s">
        <v>377</v>
      </c>
      <c r="B33" s="37" t="s">
        <v>159</v>
      </c>
    </row>
    <row r="34" ht="15.75" customHeight="1">
      <c r="A34" s="38" t="s">
        <v>378</v>
      </c>
      <c r="B34" s="37" t="s">
        <v>161</v>
      </c>
    </row>
    <row r="35" ht="15.75" customHeight="1">
      <c r="A35" s="38" t="s">
        <v>379</v>
      </c>
      <c r="B35" s="37" t="s">
        <v>162</v>
      </c>
    </row>
    <row r="36" ht="15.75" customHeight="1">
      <c r="A36" s="38" t="s">
        <v>380</v>
      </c>
      <c r="B36" s="37" t="s">
        <v>163</v>
      </c>
    </row>
    <row r="37" ht="15.75" customHeight="1">
      <c r="A37" s="38" t="s">
        <v>381</v>
      </c>
      <c r="B37" s="37" t="s">
        <v>164</v>
      </c>
    </row>
    <row r="38" ht="15.75" customHeight="1">
      <c r="A38" s="37" t="s">
        <v>382</v>
      </c>
      <c r="B38" s="37" t="s">
        <v>165</v>
      </c>
    </row>
    <row r="39" ht="15.75" customHeight="1">
      <c r="A39" s="38" t="s">
        <v>383</v>
      </c>
      <c r="B39" s="37" t="s">
        <v>166</v>
      </c>
    </row>
    <row r="40" ht="15.75" customHeight="1">
      <c r="A40" s="37" t="s">
        <v>384</v>
      </c>
      <c r="B40" s="37" t="s">
        <v>168</v>
      </c>
    </row>
    <row r="41" ht="15.75" customHeight="1">
      <c r="A41" s="37" t="s">
        <v>385</v>
      </c>
      <c r="B41" s="37" t="s">
        <v>386</v>
      </c>
      <c r="C41" s="2" t="s">
        <v>387</v>
      </c>
    </row>
    <row r="42" ht="15.75" customHeight="1">
      <c r="A42" s="38" t="s">
        <v>388</v>
      </c>
      <c r="B42" s="37" t="s">
        <v>160</v>
      </c>
    </row>
    <row r="43" ht="15.75" customHeight="1">
      <c r="A43" s="38" t="s">
        <v>389</v>
      </c>
      <c r="B43" s="37" t="s">
        <v>167</v>
      </c>
    </row>
    <row r="44" ht="15.75" customHeight="1">
      <c r="A44" s="37" t="s">
        <v>390</v>
      </c>
      <c r="B44" s="37" t="s">
        <v>169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rintOptions/>
  <pageMargins bottom="1.0" footer="0.0" header="0.0" left="0.75" right="0.75" top="1.0"/>
  <pageSetup orientation="landscape"/>
  <drawing r:id="rId1"/>
</worksheet>
</file>