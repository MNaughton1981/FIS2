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RE Dashboard" sheetId="2" state="visible" r:id="rId2"/>
    <sheet name="Income Statement" sheetId="3" state="visible" r:id="rId3"/>
    <sheet name="CC Detail" sheetId="4" state="visible" r:id="rId4"/>
    <sheet name="Balances" sheetId="5" state="visible" r:id="rId5"/>
    <sheet name="Amazon Reconciliation" sheetId="6" state="visible" r:id="rId6"/>
    <sheet name="Asset ROI &amp; Reinvestment" sheetId="7" state="visible" r:id="rId7"/>
    <sheet name="Utility Recon" sheetId="8" state="visible" r:id="rId8"/>
    <sheet name="Imports" sheetId="9" state="visible" r:id="rId9"/>
    <sheet name="Imports - Checking" sheetId="10" state="visible" r:id="rId10"/>
    <sheet name="Imports - Card" sheetId="11" state="visible" r:id="rId11"/>
    <sheet name="Rules" sheetId="12" state="visible" r:id="rId12"/>
    <sheet name="Cha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;[Red](&quot;$&quot;#,##0)"/>
    <numFmt numFmtId="165" formatCode="0.0%"/>
    <numFmt numFmtId="166" formatCode="0.0"/>
    <numFmt numFmtId="167" formatCode="&quot;$&quot;#,##0.00"/>
    <numFmt numFmtId="168" formatCode="m/d/yyyy"/>
    <numFmt numFmtId="169" formatCode="yyyy-mm-dd"/>
    <numFmt numFmtId="170" formatCode="&quot;$&quot;#,##0.00;[Red](&quot;$&quot;#,##0.00)"/>
  </numFmts>
  <fonts count="12">
    <font>
      <name val="Calibri"/>
      <family val="2"/>
      <color theme="1"/>
      <sz val="11"/>
      <scheme val="minor"/>
    </font>
    <font>
      <b val="1"/>
      <color rgb="001F4E78"/>
      <sz val="18"/>
    </font>
    <font>
      <sz val="11"/>
    </font>
    <font>
      <b val="1"/>
      <color rgb="00FFFFFF"/>
      <sz val="13"/>
    </font>
    <font>
      <name val="Consolas"/>
      <sz val="10"/>
    </font>
    <font>
      <b val="1"/>
      <sz val="16"/>
    </font>
    <font>
      <i val="1"/>
      <color rgb="00888888"/>
    </font>
    <font>
      <b val="1"/>
      <color rgb="00FFFFFF"/>
    </font>
    <font>
      <b val="1"/>
    </font>
    <font>
      <b val="1"/>
      <sz val="14"/>
    </font>
    <font>
      <b val="1"/>
      <sz val="13"/>
    </font>
    <font>
      <i val="1"/>
      <color rgb="009C65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3F3"/>
      </patternFill>
    </fill>
    <fill>
      <patternFill patternType="solid">
        <fgColor rgb="00FCE5CD"/>
      </patternFill>
    </fill>
    <fill>
      <patternFill patternType="solid">
        <fgColor rgb="00FFF9E6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6" fillId="0" borderId="0" pivotButton="0" quotePrefix="0" xfId="0"/>
    <xf numFmtId="165" fontId="0" fillId="4" borderId="0" pivotButton="0" quotePrefix="0" xfId="0"/>
    <xf numFmtId="165" fontId="0" fillId="0" borderId="0" pivotButton="0" quotePrefix="0" xfId="0"/>
    <xf numFmtId="164" fontId="0" fillId="5" borderId="0" pivotButton="0" quotePrefix="0" xfId="0"/>
    <xf numFmtId="0" fontId="8" fillId="0" borderId="0" pivotButton="0" quotePrefix="0" xfId="0"/>
    <xf numFmtId="164" fontId="8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9" fillId="0" borderId="0" pivotButton="0" quotePrefix="0" xfId="0"/>
    <xf numFmtId="0" fontId="7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center" vertical="top"/>
    </xf>
    <xf numFmtId="0" fontId="8" fillId="6" borderId="0" pivotButton="0" quotePrefix="0" xfId="0"/>
    <xf numFmtId="164" fontId="0" fillId="6" borderId="0" pivotButton="0" quotePrefix="0" xfId="0"/>
    <xf numFmtId="0" fontId="0" fillId="6" borderId="0" pivotButton="0" quotePrefix="0" xfId="0"/>
    <xf numFmtId="0" fontId="8" fillId="7" borderId="0" pivotButton="0" quotePrefix="0" xfId="0"/>
    <xf numFmtId="164" fontId="8" fillId="7" borderId="0" pivotButton="0" quotePrefix="0" xfId="0"/>
    <xf numFmtId="0" fontId="8" fillId="8" borderId="0" pivotButton="0" quotePrefix="0" xfId="0"/>
    <xf numFmtId="164" fontId="8" fillId="8" borderId="0" pivotButton="0" quotePrefix="0" xfId="0"/>
    <xf numFmtId="0" fontId="8" fillId="9" borderId="0" pivotButton="0" quotePrefix="0" xfId="0"/>
    <xf numFmtId="164" fontId="8" fillId="9" borderId="0" pivotButton="0" quotePrefix="0" xfId="0"/>
    <xf numFmtId="0" fontId="10" fillId="0" borderId="0" pivotButton="0" quotePrefix="0" xfId="0"/>
    <xf numFmtId="0" fontId="0" fillId="5" borderId="0" pivotButton="0" quotePrefix="0" xfId="0"/>
    <xf numFmtId="167" fontId="7" fillId="2" borderId="0" applyAlignment="1" pivotButton="0" quotePrefix="0" xfId="0">
      <alignment horizontal="center" vertical="top"/>
    </xf>
    <xf numFmtId="167" fontId="0" fillId="0" borderId="0" pivotButton="0" quotePrefix="0" xfId="0"/>
    <xf numFmtId="168" fontId="0" fillId="0" borderId="0" pivotButton="0" quotePrefix="0" xfId="0"/>
    <xf numFmtId="168" fontId="0" fillId="5" borderId="0" pivotButton="0" quotePrefix="0" xfId="0"/>
    <xf numFmtId="170" fontId="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8" customWidth="1" min="2" max="2"/>
  </cols>
  <sheetData>
    <row r="1" ht="30" customHeight="1">
      <c r="B1" s="1" t="inlineStr">
        <is>
          <t>🔥 FIRE Tracker — Read Me First</t>
        </is>
      </c>
    </row>
    <row r="2">
      <c r="B2" s="2" t="inlineStr">
        <is>
          <t>A privacy-safe personal-finance / FIRE workbook. This is a blank template — no personal data.</t>
        </is>
      </c>
    </row>
    <row r="3" ht="6" customHeight="1">
      <c r="B3" s="3" t="inlineStr"/>
    </row>
    <row r="4" ht="24" customHeight="1">
      <c r="A4" s="4" t="n"/>
      <c r="B4" s="5" t="inlineStr">
        <is>
          <t>Quick start</t>
        </is>
      </c>
    </row>
    <row r="5">
      <c r="B5" s="2" t="inlineStr">
        <is>
          <t>1.  Extensions → Apps Script → paste FIRE_Template.gs (from the repo) → Save → reload.</t>
        </is>
      </c>
    </row>
    <row r="6">
      <c r="B6" s="2" t="inlineStr">
        <is>
          <t>2.  Menu “📊 FIRE Tracker → Setup / Rebuild Template” refreshes/rebuilds tabs (optional — this file already has them).</t>
        </is>
      </c>
    </row>
    <row r="7">
      <c r="B7" s="2" t="inlineStr">
        <is>
          <t>3.  Fill the Balances tab with assets &amp; liabilities each month.</t>
        </is>
      </c>
    </row>
    <row r="8">
      <c r="B8" s="2" t="inlineStr">
        <is>
          <t>4.  Paste transactions into the Imports tab (format below).</t>
        </is>
      </c>
    </row>
    <row r="9">
      <c r="B9" s="2" t="inlineStr">
        <is>
          <t>5.  Review/extend the Rules tab, then run “Categorize &amp; Roll Up” and “Generate / Refresh Charts”.</t>
        </is>
      </c>
    </row>
    <row r="10" ht="6" customHeight="1">
      <c r="B10" s="3" t="inlineStr"/>
    </row>
    <row r="11" ht="24" customHeight="1">
      <c r="A11" s="4" t="n"/>
      <c r="B11" s="5" t="inlineStr">
        <is>
          <t>Imports format (data starts row 5)</t>
        </is>
      </c>
    </row>
    <row r="12">
      <c r="B12" s="6" t="inlineStr">
        <is>
          <t>A = Date | B = Description | C = Amount (+ in / − out) | D = Account | E = Category (auto)</t>
        </is>
      </c>
    </row>
    <row r="13" ht="6" customHeight="1">
      <c r="B13" s="3" t="inlineStr"/>
    </row>
    <row r="14" ht="24" customHeight="1">
      <c r="A14" s="4" t="n"/>
      <c r="B14" s="5" t="inlineStr">
        <is>
          <t>Category tokens (Rules tab)</t>
        </is>
      </c>
    </row>
    <row r="15">
      <c r="B15" s="6" t="inlineStr">
        <is>
          <t>__INCOME__:&lt;line&gt;  __FIXED__:&lt;line&gt;  &lt;Variable category&gt;  __TRANSFER__ (ignore)  __MANUAL__ (ignore)</t>
        </is>
      </c>
    </row>
    <row r="16">
      <c r="B16" s="2" t="inlineStr">
        <is>
          <t>Utilities are entered by hand (gas + electric bill together and can’t be split reliably); the importer never overwrites those rows.</t>
        </is>
      </c>
    </row>
    <row r="17" ht="6" customHeight="1">
      <c r="B17" s="3" t="inlineStr"/>
    </row>
    <row r="18" ht="24" customHeight="1">
      <c r="A18" s="4" t="n"/>
      <c r="B18" s="5" t="inlineStr">
        <is>
          <t>Tabs</t>
        </is>
      </c>
    </row>
    <row r="19">
      <c r="B19" s="2" t="inlineStr">
        <is>
          <t>FIRE Dashboard • Income Statement • CC Detail • Balances • Amazon Reconciliation • Asset ROI / Reinvestment • Utility Recon • Imports • Rules • Charts</t>
        </is>
      </c>
    </row>
    <row r="20" ht="6" customHeight="1">
      <c r="B20" s="3" t="inlineStr"/>
    </row>
    <row r="21" ht="24" customHeight="1">
      <c r="A21" s="4" t="n"/>
      <c r="B21" s="5" t="inlineStr">
        <is>
          <t>Colors</t>
        </is>
      </c>
    </row>
    <row r="22">
      <c r="B22" s="2" t="inlineStr">
        <is>
          <t>Orange = assumptions you set. Yellow = you type here. Grey/colored rows = formulas — leave them alone.</t>
        </is>
      </c>
    </row>
    <row r="23" ht="6" customHeight="1">
      <c r="B23" s="3" t="inlineStr"/>
    </row>
    <row r="24" ht="24" customHeight="1">
      <c r="A24" s="4" t="n"/>
      <c r="B24" s="5" t="inlineStr">
        <is>
          <t>Note</t>
        </is>
      </c>
    </row>
    <row r="25">
      <c r="B25" s="2" t="inlineStr">
        <is>
          <t>This .xlsx holds the structure &amp; formulas only. The menu, categorizer, and charts come from the Apps Script files (FIRE_Template.gs for the template; Categorize.gs is the personal-workbook categorizer). Paste the script once to activate them.</t>
        </is>
      </c>
    </row>
    <row r="26">
      <c r="B26" s="2" t="inlineStr">
        <is>
          <t>Template generated for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52" customWidth="1" min="3" max="3"/>
  </cols>
  <sheetData>
    <row r="1">
      <c r="A1" s="7" t="inlineStr">
        <is>
          <t>🔥 FIRE Dashboard</t>
        </is>
      </c>
    </row>
    <row r="2">
      <c r="A2" s="8" t="inlineStr">
        <is>
          <t>Educational planning tool, not investment advice. ORANGE = assumptions you set • YELLOW = balances/contributions you update over time. FI math uses a REAL (inflation-adjusted) return.</t>
        </is>
      </c>
    </row>
    <row r="4">
      <c r="A4" s="9" t="inlineStr">
        <is>
          <t>① HOUSEHOLD ASSUMPTIONS</t>
        </is>
      </c>
      <c r="B4" s="4" t="n"/>
      <c r="C4" s="4" t="n"/>
    </row>
    <row r="5">
      <c r="A5" t="inlineStr">
        <is>
          <t>Your current age</t>
        </is>
      </c>
      <c r="B5" s="10" t="n">
        <v>40</v>
      </c>
    </row>
    <row r="6">
      <c r="A6" t="inlineStr">
        <is>
          <t>Partner current age (optional)</t>
        </is>
      </c>
      <c r="B6" s="10" t="n">
        <v>40</v>
      </c>
    </row>
    <row r="7">
      <c r="A7" t="inlineStr">
        <is>
          <t>Current calendar year</t>
        </is>
      </c>
      <c r="B7" s="10" t="n">
        <v>2026</v>
      </c>
    </row>
    <row r="8">
      <c r="A8" t="inlineStr">
        <is>
          <t>Target annual retirement spend ($)</t>
        </is>
      </c>
      <c r="B8" s="11" t="n">
        <v>80000</v>
      </c>
      <c r="C8" s="12" t="inlineStr">
        <is>
          <t>tip: your Income Statement's annualized expenses are a good starting point</t>
        </is>
      </c>
    </row>
    <row r="9">
      <c r="A9" t="inlineStr">
        <is>
          <t>Safe withdrawal rate (SWR)</t>
        </is>
      </c>
      <c r="B9" s="13" t="n">
        <v>0.04</v>
      </c>
    </row>
    <row r="10">
      <c r="A10" t="inlineStr">
        <is>
          <t>Nominal expected return</t>
        </is>
      </c>
      <c r="B10" s="13" t="n">
        <v>0.07000000000000001</v>
      </c>
    </row>
    <row r="11">
      <c r="A11" t="inlineStr">
        <is>
          <t>Assumed inflation</t>
        </is>
      </c>
      <c r="B11" s="13" t="n">
        <v>0.03</v>
      </c>
    </row>
    <row r="12">
      <c r="A12" t="inlineStr">
        <is>
          <t>Real return (auto)</t>
        </is>
      </c>
      <c r="B12" s="14">
        <f>(1+B10)/(1+B11)-1</f>
        <v/>
      </c>
      <c r="C12" s="12" t="inlineStr">
        <is>
          <t>Fisher: (1+nominal)/(1+inflation)−1</t>
        </is>
      </c>
    </row>
    <row r="14">
      <c r="A14" s="9" t="inlineStr">
        <is>
          <t>② CURRENT INVESTED ASSETS</t>
        </is>
      </c>
      <c r="B14" s="4" t="n"/>
      <c r="C14" s="4" t="n"/>
    </row>
    <row r="15">
      <c r="A15" t="inlineStr">
        <is>
          <t>401k / 403b — you</t>
        </is>
      </c>
      <c r="B15" s="15" t="n">
        <v>0</v>
      </c>
    </row>
    <row r="16">
      <c r="A16" t="inlineStr">
        <is>
          <t>401k / 403b — partner</t>
        </is>
      </c>
      <c r="B16" s="15" t="n">
        <v>0</v>
      </c>
    </row>
    <row r="17">
      <c r="A17" t="inlineStr">
        <is>
          <t>IRAs (Roth + traditional)</t>
        </is>
      </c>
      <c r="B17" s="15" t="n">
        <v>0</v>
      </c>
    </row>
    <row r="18">
      <c r="A18" t="inlineStr">
        <is>
          <t>HSA (invested portion)</t>
        </is>
      </c>
      <c r="B18" s="15" t="n">
        <v>0</v>
      </c>
    </row>
    <row r="19">
      <c r="A19" t="inlineStr">
        <is>
          <t>Taxable brokerage</t>
        </is>
      </c>
      <c r="B19" s="15" t="n">
        <v>0</v>
      </c>
    </row>
    <row r="20">
      <c r="A20" t="inlineStr">
        <is>
          <t>Cash earmarked for FI</t>
        </is>
      </c>
      <c r="B20" s="15" t="n">
        <v>0</v>
      </c>
    </row>
    <row r="21">
      <c r="A21" s="16" t="inlineStr">
        <is>
          <t>TOTAL INVESTED</t>
        </is>
      </c>
      <c r="B21" s="17">
        <f>SUM(B15:B20)</f>
        <v/>
      </c>
    </row>
    <row r="22">
      <c r="A22" t="inlineStr">
        <is>
          <t>(memo) 529 / education — excluded from FI</t>
        </is>
      </c>
      <c r="B22" s="15" t="n">
        <v>0</v>
      </c>
      <c r="C22" s="12" t="inlineStr">
        <is>
          <t>not counted toward FI</t>
        </is>
      </c>
    </row>
    <row r="24">
      <c r="A24" s="9" t="inlineStr">
        <is>
          <t>③ ANNUAL CONTRIBUTIONS</t>
        </is>
      </c>
      <c r="B24" s="4" t="n"/>
      <c r="C24" s="4" t="n"/>
    </row>
    <row r="25">
      <c r="A25" t="inlineStr">
        <is>
          <t>401k / 403b (employee)</t>
        </is>
      </c>
      <c r="B25" s="15" t="n">
        <v>0</v>
      </c>
    </row>
    <row r="26">
      <c r="A26" t="inlineStr">
        <is>
          <t>Employer match</t>
        </is>
      </c>
      <c r="B26" s="15" t="n">
        <v>0</v>
      </c>
    </row>
    <row r="27">
      <c r="A27" t="inlineStr">
        <is>
          <t>Partner retirement</t>
        </is>
      </c>
      <c r="B27" s="15" t="n">
        <v>0</v>
      </c>
    </row>
    <row r="28">
      <c r="A28" t="inlineStr">
        <is>
          <t>HSA</t>
        </is>
      </c>
      <c r="B28" s="15" t="n">
        <v>0</v>
      </c>
    </row>
    <row r="29">
      <c r="A29" t="inlineStr">
        <is>
          <t>IRAs (both)</t>
        </is>
      </c>
      <c r="B29" s="15" t="n">
        <v>0</v>
      </c>
    </row>
    <row r="30">
      <c r="A30" t="inlineStr">
        <is>
          <t>Taxable brokerage</t>
        </is>
      </c>
      <c r="B30" s="15" t="n">
        <v>0</v>
      </c>
    </row>
    <row r="31">
      <c r="A31" s="16" t="inlineStr">
        <is>
          <t>TOTAL ANNUAL INVESTED</t>
        </is>
      </c>
      <c r="B31" s="17">
        <f>SUM(B25:B30)</f>
        <v/>
      </c>
    </row>
    <row r="33">
      <c r="A33" s="9" t="inlineStr">
        <is>
          <t>④ SAVINGS RATE</t>
        </is>
      </c>
      <c r="B33" s="4" t="n"/>
      <c r="C33" s="4" t="n"/>
    </row>
    <row r="34">
      <c r="A34" t="inlineStr">
        <is>
          <t>Gross household income ($)</t>
        </is>
      </c>
      <c r="B34" s="11" t="n">
        <v>0</v>
      </c>
    </row>
    <row r="35">
      <c r="A35" t="inlineStr">
        <is>
          <t>Savings rate</t>
        </is>
      </c>
      <c r="B35" s="14">
        <f>IFERROR(B31/B34,0)</f>
        <v/>
      </c>
      <c r="C35" s="12" t="inlineStr">
        <is>
          <t>annual invested ÷ gross income</t>
        </is>
      </c>
    </row>
    <row r="37">
      <c r="A37" s="9" t="inlineStr">
        <is>
          <t>⑤ FI NUMBER (with &amp; without an income floor)</t>
        </is>
      </c>
      <c r="B37" s="4" t="n"/>
      <c r="C37" s="4" t="n"/>
    </row>
    <row r="38">
      <c r="A38" s="16" t="inlineStr">
        <is>
          <t>Gross FI number (spend ÷ SWR)</t>
        </is>
      </c>
      <c r="B38" s="17">
        <f>IFERROR(B8/B9,0)</f>
        <v/>
      </c>
      <c r="C38" s="12" t="inlineStr">
        <is>
          <t>the 25× rule at 4%</t>
        </is>
      </c>
    </row>
    <row r="39">
      <c r="A39" t="inlineStr">
        <is>
          <t>Pension (annual, if any)</t>
        </is>
      </c>
      <c r="B39" s="11" t="n">
        <v>0</v>
      </c>
    </row>
    <row r="40">
      <c r="A40" t="inlineStr">
        <is>
          <t>Social Security household (annual, est)</t>
        </is>
      </c>
      <c r="B40" s="11" t="n">
        <v>0</v>
      </c>
    </row>
    <row r="41">
      <c r="A41" t="inlineStr">
        <is>
          <t>Income floor (pension + SS)</t>
        </is>
      </c>
      <c r="B41" s="18">
        <f>B39+B40</f>
        <v/>
      </c>
    </row>
    <row r="42">
      <c r="A42" t="inlineStr">
        <is>
          <t>Income floor — capitalized value</t>
        </is>
      </c>
      <c r="B42" s="18">
        <f>IFERROR(B41/B9,0)</f>
        <v/>
      </c>
      <c r="C42" s="12" t="inlineStr">
        <is>
          <t>floor ÷ SWR (portfolio it replaces)</t>
        </is>
      </c>
    </row>
    <row r="43">
      <c r="A43" s="16" t="inlineStr">
        <is>
          <t>NET FI number (target once floor starts)</t>
        </is>
      </c>
      <c r="B43" s="17">
        <f>IFERROR(MAX(0,(B8-B41)/B9),0)</f>
        <v/>
      </c>
      <c r="C43" s="12" t="inlineStr">
        <is>
          <t>portfolio still needed after the floor</t>
        </is>
      </c>
    </row>
    <row r="45">
      <c r="A45" s="9" t="inlineStr">
        <is>
          <t>⑥ YEARS TO FI (portfolio-only runway)</t>
        </is>
      </c>
      <c r="B45" s="4" t="n"/>
      <c r="C45" s="4" t="n"/>
    </row>
    <row r="46">
      <c r="A46" t="inlineStr">
        <is>
          <t>Years to reach GROSS FI number</t>
        </is>
      </c>
      <c r="B46" s="19">
        <f>IFERROR(NPER(B12,-B31,-B21,B38),"check inputs")</f>
        <v/>
      </c>
      <c r="C46" s="12" t="inlineStr">
        <is>
          <t>compounds current assets + contributions at the real return</t>
        </is>
      </c>
    </row>
    <row r="47">
      <c r="A47" t="inlineStr">
        <is>
          <t>Your age at FI</t>
        </is>
      </c>
      <c r="B47" s="19">
        <f>IF(ISNUMBER(B46),B5+B46,"—")</f>
        <v/>
      </c>
    </row>
    <row r="48">
      <c r="A48" t="inlineStr">
        <is>
          <t>FI calendar year</t>
        </is>
      </c>
      <c r="B48" s="20">
        <f>IF(ISNUMBER(B46),B7+B46,"—")</f>
        <v/>
      </c>
    </row>
    <row r="50">
      <c r="A50" s="9" t="inlineStr">
        <is>
          <t>⑦ PRE-59½ BRIDGE (early-access runway)</t>
        </is>
      </c>
      <c r="B50" s="4" t="n"/>
      <c r="C50" s="4" t="n"/>
    </row>
    <row r="51">
      <c r="A51" t="inlineStr">
        <is>
          <t>Planned early-retire age</t>
        </is>
      </c>
      <c r="B51" s="10" t="n">
        <v>55</v>
      </c>
    </row>
    <row r="52">
      <c r="A52" t="inlineStr">
        <is>
          <t>Roth IRA contributions (accessible)</t>
        </is>
      </c>
      <c r="B52" s="15" t="n">
        <v>0</v>
      </c>
    </row>
    <row r="53">
      <c r="A53" t="inlineStr">
        <is>
          <t>HSA receipt shoebox (accessible)</t>
        </is>
      </c>
      <c r="B53" s="15" t="n">
        <v>0</v>
      </c>
    </row>
    <row r="54">
      <c r="A54" t="inlineStr">
        <is>
          <t>Taxable brokerage (accessible)</t>
        </is>
      </c>
      <c r="B54" s="15" t="n">
        <v>0</v>
      </c>
    </row>
    <row r="55">
      <c r="A55" s="16" t="inlineStr">
        <is>
          <t>Total accessible before 59½</t>
        </is>
      </c>
      <c r="B55" s="17">
        <f>SUM(B52:B54)</f>
        <v/>
      </c>
    </row>
    <row r="56">
      <c r="A56" t="inlineStr">
        <is>
          <t>Years until 59½</t>
        </is>
      </c>
      <c r="B56" s="19">
        <f>59.5-B51</f>
        <v/>
      </c>
    </row>
    <row r="57">
      <c r="A57" t="inlineStr">
        <is>
          <t>Annual spend uncovered in bridge ($)</t>
        </is>
      </c>
      <c r="B57" s="11" t="n">
        <v>0</v>
      </c>
      <c r="C57" s="12" t="inlineStr">
        <is>
          <t>spend not met by other income during the bridge</t>
        </is>
      </c>
    </row>
    <row r="58">
      <c r="A58" t="inlineStr">
        <is>
          <t>Bridge need</t>
        </is>
      </c>
      <c r="B58" s="18">
        <f>MAX(0,B56)*B57</f>
        <v/>
      </c>
    </row>
    <row r="59">
      <c r="A59" s="16" t="inlineStr">
        <is>
          <t>Bridge surplus / (gap)</t>
        </is>
      </c>
      <c r="B59" s="17">
        <f>B55-B58</f>
        <v/>
      </c>
      <c r="C59" s="12" t="inlineStr">
        <is>
          <t>positive = the bridge is covered</t>
        </is>
      </c>
    </row>
    <row r="61">
      <c r="A61" s="9" t="inlineStr">
        <is>
          <t>PROGRESS TO FI</t>
        </is>
      </c>
      <c r="B61" s="4" t="n"/>
      <c r="C61" s="4" t="n"/>
    </row>
    <row r="62">
      <c r="A62" t="inlineStr">
        <is>
          <t>Progress to GROSS FI number</t>
        </is>
      </c>
      <c r="B62" s="14">
        <f>IFERROR(B21/B38,0)</f>
        <v/>
      </c>
    </row>
    <row r="63">
      <c r="A63" t="inlineStr">
        <is>
          <t>Progress bar</t>
        </is>
      </c>
      <c r="B63">
        <f>SPARKLINE(MIN(MAX(B62,0),1),{"charttype","bar";"max",1;"color1","#2E7D32"})</f>
        <v/>
      </c>
    </row>
    <row r="65">
      <c r="A65" s="8" t="inlineStr">
        <is>
          <t>Notes: NPER assumes level real contributions and a constant real return — a planning estimate, not a guarantee. The income-floor rows let you see how a pension/Social Security shrinks the portfolio you actually need.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21" t="inlineStr">
        <is>
          <t>FIRE — Income Statement (2026)</t>
        </is>
      </c>
    </row>
    <row r="3">
      <c r="A3" s="22" t="inlineStr">
        <is>
          <t>Category</t>
        </is>
      </c>
      <c r="B3" s="23" t="inlineStr">
        <is>
          <t>Jan</t>
        </is>
      </c>
      <c r="C3" s="23" t="inlineStr">
        <is>
          <t>Feb</t>
        </is>
      </c>
      <c r="D3" s="23" t="inlineStr">
        <is>
          <t>Mar</t>
        </is>
      </c>
      <c r="E3" s="23" t="inlineStr">
        <is>
          <t>Apr</t>
        </is>
      </c>
      <c r="F3" s="23" t="inlineStr">
        <is>
          <t>May</t>
        </is>
      </c>
      <c r="G3" s="23" t="inlineStr">
        <is>
          <t>Jun</t>
        </is>
      </c>
      <c r="H3" s="23" t="inlineStr">
        <is>
          <t>Jul</t>
        </is>
      </c>
      <c r="I3" s="23" t="inlineStr">
        <is>
          <t>Aug</t>
        </is>
      </c>
      <c r="J3" s="23" t="inlineStr">
        <is>
          <t>Sep</t>
        </is>
      </c>
      <c r="K3" s="23" t="inlineStr">
        <is>
          <t>Oct</t>
        </is>
      </c>
      <c r="L3" s="23" t="inlineStr">
        <is>
          <t>Nov</t>
        </is>
      </c>
      <c r="M3" s="23" t="inlineStr">
        <is>
          <t>Dec</t>
        </is>
      </c>
      <c r="N3" s="23" t="inlineStr">
        <is>
          <t>YTD</t>
        </is>
      </c>
    </row>
    <row r="4">
      <c r="A4" s="24" t="inlineStr">
        <is>
          <t>INCOME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6" t="n"/>
    </row>
    <row r="5">
      <c r="A5" t="inlineStr">
        <is>
          <t xml:space="preserve">    Salary / Wages — 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>
        <f>SUM(B5:M5)</f>
        <v/>
      </c>
    </row>
    <row r="6">
      <c r="A6" t="inlineStr">
        <is>
          <t xml:space="preserve">    Salary / Wages — 2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>
        <f>SUM(B6:M6)</f>
        <v/>
      </c>
    </row>
    <row r="7">
      <c r="A7" t="inlineStr">
        <is>
          <t xml:space="preserve">    Interest / Dividends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>
        <f>SUM(B7:M7)</f>
        <v/>
      </c>
    </row>
    <row r="8">
      <c r="A8" t="inlineStr">
        <is>
          <t xml:space="preserve">    Other income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>
        <f>SUM(B8:M8)</f>
        <v/>
      </c>
    </row>
    <row r="9">
      <c r="A9" s="27" t="inlineStr">
        <is>
          <t>Total Income</t>
        </is>
      </c>
      <c r="B9" s="28">
        <f>SUM(B5:B8)</f>
        <v/>
      </c>
      <c r="C9" s="28">
        <f>SUM(C5:C8)</f>
        <v/>
      </c>
      <c r="D9" s="28">
        <f>SUM(D5:D8)</f>
        <v/>
      </c>
      <c r="E9" s="28">
        <f>SUM(E5:E8)</f>
        <v/>
      </c>
      <c r="F9" s="28">
        <f>SUM(F5:F8)</f>
        <v/>
      </c>
      <c r="G9" s="28">
        <f>SUM(G5:G8)</f>
        <v/>
      </c>
      <c r="H9" s="28">
        <f>SUM(H5:H8)</f>
        <v/>
      </c>
      <c r="I9" s="28">
        <f>SUM(I5:I8)</f>
        <v/>
      </c>
      <c r="J9" s="28">
        <f>SUM(J5:J8)</f>
        <v/>
      </c>
      <c r="K9" s="28">
        <f>SUM(K5:K8)</f>
        <v/>
      </c>
      <c r="L9" s="28">
        <f>SUM(L5:L8)</f>
        <v/>
      </c>
      <c r="M9" s="28">
        <f>SUM(M5:M8)</f>
        <v/>
      </c>
      <c r="N9" s="27">
        <f>SUM(N5:N8)</f>
        <v/>
      </c>
    </row>
    <row r="10"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</row>
    <row r="11">
      <c r="A11" s="24" t="inlineStr">
        <is>
          <t>FIXED EXPENSES</t>
        </is>
      </c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6" t="n"/>
    </row>
    <row r="12">
      <c r="A12" t="inlineStr">
        <is>
          <t xml:space="preserve">    Housing (rent / mortgage)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>
        <f>SUM(B12:M12)</f>
        <v/>
      </c>
    </row>
    <row r="13">
      <c r="A13" t="inlineStr">
        <is>
          <t xml:space="preserve">    Transportation / Auto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>
        <f>SUM(B13:M13)</f>
        <v/>
      </c>
    </row>
    <row r="14">
      <c r="A14" t="inlineStr">
        <is>
          <t xml:space="preserve">    Insurance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>
        <f>SUM(B14:M14)</f>
        <v/>
      </c>
    </row>
    <row r="15">
      <c r="A15" t="inlineStr">
        <is>
          <t xml:space="preserve">    Phone / Internet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>
        <f>SUM(B15:M15)</f>
        <v/>
      </c>
    </row>
    <row r="16">
      <c r="A16" t="inlineStr">
        <is>
          <t xml:space="preserve">    Debt payments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>
        <f>SUM(B16:M16)</f>
        <v/>
      </c>
    </row>
    <row r="17">
      <c r="A17" t="inlineStr">
        <is>
          <t xml:space="preserve">    Investments / Contributions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>
        <f>SUM(B17:M17)</f>
        <v/>
      </c>
    </row>
    <row r="18">
      <c r="A18" s="27" t="inlineStr">
        <is>
          <t>Total Fixed Expenses</t>
        </is>
      </c>
      <c r="B18" s="28">
        <f>SUM(B12:B17)</f>
        <v/>
      </c>
      <c r="C18" s="28">
        <f>SUM(C12:C17)</f>
        <v/>
      </c>
      <c r="D18" s="28">
        <f>SUM(D12:D17)</f>
        <v/>
      </c>
      <c r="E18" s="28">
        <f>SUM(E12:E17)</f>
        <v/>
      </c>
      <c r="F18" s="28">
        <f>SUM(F12:F17)</f>
        <v/>
      </c>
      <c r="G18" s="28">
        <f>SUM(G12:G17)</f>
        <v/>
      </c>
      <c r="H18" s="28">
        <f>SUM(H12:H17)</f>
        <v/>
      </c>
      <c r="I18" s="28">
        <f>SUM(I12:I17)</f>
        <v/>
      </c>
      <c r="J18" s="28">
        <f>SUM(J12:J17)</f>
        <v/>
      </c>
      <c r="K18" s="28">
        <f>SUM(K12:K17)</f>
        <v/>
      </c>
      <c r="L18" s="28">
        <f>SUM(L12:L17)</f>
        <v/>
      </c>
      <c r="M18" s="28">
        <f>SUM(M12:M17)</f>
        <v/>
      </c>
      <c r="N18" s="27">
        <f>SUM(N12:N17)</f>
        <v/>
      </c>
    </row>
    <row r="19"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</row>
    <row r="20">
      <c r="A20" s="24" t="inlineStr">
        <is>
          <t>UTILITIES (manual entry — not auto-imported)</t>
        </is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6" t="n"/>
    </row>
    <row r="21">
      <c r="A21" t="inlineStr">
        <is>
          <t xml:space="preserve">    Electric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>
        <f>SUM(B21:M21)</f>
        <v/>
      </c>
    </row>
    <row r="22">
      <c r="A22" t="inlineStr">
        <is>
          <t xml:space="preserve">    Gas / Heating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>
        <f>SUM(B22:M22)</f>
        <v/>
      </c>
    </row>
    <row r="23">
      <c r="A23" t="inlineStr">
        <is>
          <t xml:space="preserve">    Water / Sewer / Trash</t>
        </is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>
        <f>SUM(B23:M23)</f>
        <v/>
      </c>
    </row>
    <row r="24">
      <c r="A24" s="27" t="inlineStr">
        <is>
          <t>Total Utilities</t>
        </is>
      </c>
      <c r="B24" s="28">
        <f>SUM(B21:B23)</f>
        <v/>
      </c>
      <c r="C24" s="28">
        <f>SUM(C21:C23)</f>
        <v/>
      </c>
      <c r="D24" s="28">
        <f>SUM(D21:D23)</f>
        <v/>
      </c>
      <c r="E24" s="28">
        <f>SUM(E21:E23)</f>
        <v/>
      </c>
      <c r="F24" s="28">
        <f>SUM(F21:F23)</f>
        <v/>
      </c>
      <c r="G24" s="28">
        <f>SUM(G21:G23)</f>
        <v/>
      </c>
      <c r="H24" s="28">
        <f>SUM(H21:H23)</f>
        <v/>
      </c>
      <c r="I24" s="28">
        <f>SUM(I21:I23)</f>
        <v/>
      </c>
      <c r="J24" s="28">
        <f>SUM(J21:J23)</f>
        <v/>
      </c>
      <c r="K24" s="28">
        <f>SUM(K21:K23)</f>
        <v/>
      </c>
      <c r="L24" s="28">
        <f>SUM(L21:L23)</f>
        <v/>
      </c>
      <c r="M24" s="28">
        <f>SUM(M21:M23)</f>
        <v/>
      </c>
      <c r="N24" s="27">
        <f>SUM(N21:N23)</f>
        <v/>
      </c>
    </row>
    <row r="25"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</row>
    <row r="26">
      <c r="A26" s="24" t="inlineStr">
        <is>
          <t>VARIABLE SPENDING (auto-pulled from CC Detail)</t>
        </is>
      </c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6" t="n"/>
    </row>
    <row r="27">
      <c r="A27" t="inlineStr">
        <is>
          <t xml:space="preserve">    Groceries</t>
        </is>
      </c>
      <c r="B27" s="18">
        <f>'CC Detail'!B5</f>
        <v/>
      </c>
      <c r="C27" s="18">
        <f>'CC Detail'!C5</f>
        <v/>
      </c>
      <c r="D27" s="18">
        <f>'CC Detail'!D5</f>
        <v/>
      </c>
      <c r="E27" s="18">
        <f>'CC Detail'!E5</f>
        <v/>
      </c>
      <c r="F27" s="18">
        <f>'CC Detail'!F5</f>
        <v/>
      </c>
      <c r="G27" s="18">
        <f>'CC Detail'!G5</f>
        <v/>
      </c>
      <c r="H27" s="18">
        <f>'CC Detail'!H5</f>
        <v/>
      </c>
      <c r="I27" s="18">
        <f>'CC Detail'!I5</f>
        <v/>
      </c>
      <c r="J27" s="18">
        <f>'CC Detail'!J5</f>
        <v/>
      </c>
      <c r="K27" s="18">
        <f>'CC Detail'!K5</f>
        <v/>
      </c>
      <c r="L27" s="18">
        <f>'CC Detail'!L5</f>
        <v/>
      </c>
      <c r="M27" s="18">
        <f>'CC Detail'!M5</f>
        <v/>
      </c>
      <c r="N27">
        <f>SUM(B27:M27)</f>
        <v/>
      </c>
    </row>
    <row r="28">
      <c r="A28" t="inlineStr">
        <is>
          <t xml:space="preserve">    Dining out</t>
        </is>
      </c>
      <c r="B28" s="18">
        <f>'CC Detail'!B6</f>
        <v/>
      </c>
      <c r="C28" s="18">
        <f>'CC Detail'!C6</f>
        <v/>
      </c>
      <c r="D28" s="18">
        <f>'CC Detail'!D6</f>
        <v/>
      </c>
      <c r="E28" s="18">
        <f>'CC Detail'!E6</f>
        <v/>
      </c>
      <c r="F28" s="18">
        <f>'CC Detail'!F6</f>
        <v/>
      </c>
      <c r="G28" s="18">
        <f>'CC Detail'!G6</f>
        <v/>
      </c>
      <c r="H28" s="18">
        <f>'CC Detail'!H6</f>
        <v/>
      </c>
      <c r="I28" s="18">
        <f>'CC Detail'!I6</f>
        <v/>
      </c>
      <c r="J28" s="18">
        <f>'CC Detail'!J6</f>
        <v/>
      </c>
      <c r="K28" s="18">
        <f>'CC Detail'!K6</f>
        <v/>
      </c>
      <c r="L28" s="18">
        <f>'CC Detail'!L6</f>
        <v/>
      </c>
      <c r="M28" s="18">
        <f>'CC Detail'!M6</f>
        <v/>
      </c>
      <c r="N28">
        <f>SUM(B28:M28)</f>
        <v/>
      </c>
    </row>
    <row r="29">
      <c r="A29" t="inlineStr">
        <is>
          <t xml:space="preserve">    Fuel / Transport</t>
        </is>
      </c>
      <c r="B29" s="18">
        <f>'CC Detail'!B7</f>
        <v/>
      </c>
      <c r="C29" s="18">
        <f>'CC Detail'!C7</f>
        <v/>
      </c>
      <c r="D29" s="18">
        <f>'CC Detail'!D7</f>
        <v/>
      </c>
      <c r="E29" s="18">
        <f>'CC Detail'!E7</f>
        <v/>
      </c>
      <c r="F29" s="18">
        <f>'CC Detail'!F7</f>
        <v/>
      </c>
      <c r="G29" s="18">
        <f>'CC Detail'!G7</f>
        <v/>
      </c>
      <c r="H29" s="18">
        <f>'CC Detail'!H7</f>
        <v/>
      </c>
      <c r="I29" s="18">
        <f>'CC Detail'!I7</f>
        <v/>
      </c>
      <c r="J29" s="18">
        <f>'CC Detail'!J7</f>
        <v/>
      </c>
      <c r="K29" s="18">
        <f>'CC Detail'!K7</f>
        <v/>
      </c>
      <c r="L29" s="18">
        <f>'CC Detail'!L7</f>
        <v/>
      </c>
      <c r="M29" s="18">
        <f>'CC Detail'!M7</f>
        <v/>
      </c>
      <c r="N29">
        <f>SUM(B29:M29)</f>
        <v/>
      </c>
    </row>
    <row r="30">
      <c r="A30" t="inlineStr">
        <is>
          <t xml:space="preserve">    Subscriptions</t>
        </is>
      </c>
      <c r="B30" s="18">
        <f>'CC Detail'!B8</f>
        <v/>
      </c>
      <c r="C30" s="18">
        <f>'CC Detail'!C8</f>
        <v/>
      </c>
      <c r="D30" s="18">
        <f>'CC Detail'!D8</f>
        <v/>
      </c>
      <c r="E30" s="18">
        <f>'CC Detail'!E8</f>
        <v/>
      </c>
      <c r="F30" s="18">
        <f>'CC Detail'!F8</f>
        <v/>
      </c>
      <c r="G30" s="18">
        <f>'CC Detail'!G8</f>
        <v/>
      </c>
      <c r="H30" s="18">
        <f>'CC Detail'!H8</f>
        <v/>
      </c>
      <c r="I30" s="18">
        <f>'CC Detail'!I8</f>
        <v/>
      </c>
      <c r="J30" s="18">
        <f>'CC Detail'!J8</f>
        <v/>
      </c>
      <c r="K30" s="18">
        <f>'CC Detail'!K8</f>
        <v/>
      </c>
      <c r="L30" s="18">
        <f>'CC Detail'!L8</f>
        <v/>
      </c>
      <c r="M30" s="18">
        <f>'CC Detail'!M8</f>
        <v/>
      </c>
      <c r="N30">
        <f>SUM(B30:M30)</f>
        <v/>
      </c>
    </row>
    <row r="31">
      <c r="A31" t="inlineStr">
        <is>
          <t xml:space="preserve">    Kids / Activities</t>
        </is>
      </c>
      <c r="B31" s="18">
        <f>'CC Detail'!B9</f>
        <v/>
      </c>
      <c r="C31" s="18">
        <f>'CC Detail'!C9</f>
        <v/>
      </c>
      <c r="D31" s="18">
        <f>'CC Detail'!D9</f>
        <v/>
      </c>
      <c r="E31" s="18">
        <f>'CC Detail'!E9</f>
        <v/>
      </c>
      <c r="F31" s="18">
        <f>'CC Detail'!F9</f>
        <v/>
      </c>
      <c r="G31" s="18">
        <f>'CC Detail'!G9</f>
        <v/>
      </c>
      <c r="H31" s="18">
        <f>'CC Detail'!H9</f>
        <v/>
      </c>
      <c r="I31" s="18">
        <f>'CC Detail'!I9</f>
        <v/>
      </c>
      <c r="J31" s="18">
        <f>'CC Detail'!J9</f>
        <v/>
      </c>
      <c r="K31" s="18">
        <f>'CC Detail'!K9</f>
        <v/>
      </c>
      <c r="L31" s="18">
        <f>'CC Detail'!L9</f>
        <v/>
      </c>
      <c r="M31" s="18">
        <f>'CC Detail'!M9</f>
        <v/>
      </c>
      <c r="N31">
        <f>SUM(B31:M31)</f>
        <v/>
      </c>
    </row>
    <row r="32">
      <c r="A32" t="inlineStr">
        <is>
          <t xml:space="preserve">    Travel</t>
        </is>
      </c>
      <c r="B32" s="18">
        <f>'CC Detail'!B10</f>
        <v/>
      </c>
      <c r="C32" s="18">
        <f>'CC Detail'!C10</f>
        <v/>
      </c>
      <c r="D32" s="18">
        <f>'CC Detail'!D10</f>
        <v/>
      </c>
      <c r="E32" s="18">
        <f>'CC Detail'!E10</f>
        <v/>
      </c>
      <c r="F32" s="18">
        <f>'CC Detail'!F10</f>
        <v/>
      </c>
      <c r="G32" s="18">
        <f>'CC Detail'!G10</f>
        <v/>
      </c>
      <c r="H32" s="18">
        <f>'CC Detail'!H10</f>
        <v/>
      </c>
      <c r="I32" s="18">
        <f>'CC Detail'!I10</f>
        <v/>
      </c>
      <c r="J32" s="18">
        <f>'CC Detail'!J10</f>
        <v/>
      </c>
      <c r="K32" s="18">
        <f>'CC Detail'!K10</f>
        <v/>
      </c>
      <c r="L32" s="18">
        <f>'CC Detail'!L10</f>
        <v/>
      </c>
      <c r="M32" s="18">
        <f>'CC Detail'!M10</f>
        <v/>
      </c>
      <c r="N32">
        <f>SUM(B32:M32)</f>
        <v/>
      </c>
    </row>
    <row r="33">
      <c r="A33" t="inlineStr">
        <is>
          <t xml:space="preserve">    Personal Care</t>
        </is>
      </c>
      <c r="B33" s="18">
        <f>'CC Detail'!B11</f>
        <v/>
      </c>
      <c r="C33" s="18">
        <f>'CC Detail'!C11</f>
        <v/>
      </c>
      <c r="D33" s="18">
        <f>'CC Detail'!D11</f>
        <v/>
      </c>
      <c r="E33" s="18">
        <f>'CC Detail'!E11</f>
        <v/>
      </c>
      <c r="F33" s="18">
        <f>'CC Detail'!F11</f>
        <v/>
      </c>
      <c r="G33" s="18">
        <f>'CC Detail'!G11</f>
        <v/>
      </c>
      <c r="H33" s="18">
        <f>'CC Detail'!H11</f>
        <v/>
      </c>
      <c r="I33" s="18">
        <f>'CC Detail'!I11</f>
        <v/>
      </c>
      <c r="J33" s="18">
        <f>'CC Detail'!J11</f>
        <v/>
      </c>
      <c r="K33" s="18">
        <f>'CC Detail'!K11</f>
        <v/>
      </c>
      <c r="L33" s="18">
        <f>'CC Detail'!L11</f>
        <v/>
      </c>
      <c r="M33" s="18">
        <f>'CC Detail'!M11</f>
        <v/>
      </c>
      <c r="N33">
        <f>SUM(B33:M33)</f>
        <v/>
      </c>
    </row>
    <row r="34">
      <c r="A34" t="inlineStr">
        <is>
          <t xml:space="preserve">    Health / Pharmacy</t>
        </is>
      </c>
      <c r="B34" s="18">
        <f>'CC Detail'!B12</f>
        <v/>
      </c>
      <c r="C34" s="18">
        <f>'CC Detail'!C12</f>
        <v/>
      </c>
      <c r="D34" s="18">
        <f>'CC Detail'!D12</f>
        <v/>
      </c>
      <c r="E34" s="18">
        <f>'CC Detail'!E12</f>
        <v/>
      </c>
      <c r="F34" s="18">
        <f>'CC Detail'!F12</f>
        <v/>
      </c>
      <c r="G34" s="18">
        <f>'CC Detail'!G12</f>
        <v/>
      </c>
      <c r="H34" s="18">
        <f>'CC Detail'!H12</f>
        <v/>
      </c>
      <c r="I34" s="18">
        <f>'CC Detail'!I12</f>
        <v/>
      </c>
      <c r="J34" s="18">
        <f>'CC Detail'!J12</f>
        <v/>
      </c>
      <c r="K34" s="18">
        <f>'CC Detail'!K12</f>
        <v/>
      </c>
      <c r="L34" s="18">
        <f>'CC Detail'!L12</f>
        <v/>
      </c>
      <c r="M34" s="18">
        <f>'CC Detail'!M12</f>
        <v/>
      </c>
      <c r="N34">
        <f>SUM(B34:M34)</f>
        <v/>
      </c>
    </row>
    <row r="35">
      <c r="A35" t="inlineStr">
        <is>
          <t xml:space="preserve">    Home / Hardware</t>
        </is>
      </c>
      <c r="B35" s="18">
        <f>'CC Detail'!B13</f>
        <v/>
      </c>
      <c r="C35" s="18">
        <f>'CC Detail'!C13</f>
        <v/>
      </c>
      <c r="D35" s="18">
        <f>'CC Detail'!D13</f>
        <v/>
      </c>
      <c r="E35" s="18">
        <f>'CC Detail'!E13</f>
        <v/>
      </c>
      <c r="F35" s="18">
        <f>'CC Detail'!F13</f>
        <v/>
      </c>
      <c r="G35" s="18">
        <f>'CC Detail'!G13</f>
        <v/>
      </c>
      <c r="H35" s="18">
        <f>'CC Detail'!H13</f>
        <v/>
      </c>
      <c r="I35" s="18">
        <f>'CC Detail'!I13</f>
        <v/>
      </c>
      <c r="J35" s="18">
        <f>'CC Detail'!J13</f>
        <v/>
      </c>
      <c r="K35" s="18">
        <f>'CC Detail'!K13</f>
        <v/>
      </c>
      <c r="L35" s="18">
        <f>'CC Detail'!L13</f>
        <v/>
      </c>
      <c r="M35" s="18">
        <f>'CC Detail'!M13</f>
        <v/>
      </c>
      <c r="N35">
        <f>SUM(B35:M35)</f>
        <v/>
      </c>
    </row>
    <row r="36">
      <c r="A36" t="inlineStr">
        <is>
          <t xml:space="preserve">    Shopping (Amazon/misc)</t>
        </is>
      </c>
      <c r="B36" s="18">
        <f>'CC Detail'!B14</f>
        <v/>
      </c>
      <c r="C36" s="18">
        <f>'CC Detail'!C14</f>
        <v/>
      </c>
      <c r="D36" s="18">
        <f>'CC Detail'!D14</f>
        <v/>
      </c>
      <c r="E36" s="18">
        <f>'CC Detail'!E14</f>
        <v/>
      </c>
      <c r="F36" s="18">
        <f>'CC Detail'!F14</f>
        <v/>
      </c>
      <c r="G36" s="18">
        <f>'CC Detail'!G14</f>
        <v/>
      </c>
      <c r="H36" s="18">
        <f>'CC Detail'!H14</f>
        <v/>
      </c>
      <c r="I36" s="18">
        <f>'CC Detail'!I14</f>
        <v/>
      </c>
      <c r="J36" s="18">
        <f>'CC Detail'!J14</f>
        <v/>
      </c>
      <c r="K36" s="18">
        <f>'CC Detail'!K14</f>
        <v/>
      </c>
      <c r="L36" s="18">
        <f>'CC Detail'!L14</f>
        <v/>
      </c>
      <c r="M36" s="18">
        <f>'CC Detail'!M14</f>
        <v/>
      </c>
      <c r="N36">
        <f>SUM(B36:M36)</f>
        <v/>
      </c>
    </row>
    <row r="37">
      <c r="A37" t="inlineStr">
        <is>
          <t xml:space="preserve">    Entertainment</t>
        </is>
      </c>
      <c r="B37" s="18">
        <f>'CC Detail'!B15</f>
        <v/>
      </c>
      <c r="C37" s="18">
        <f>'CC Detail'!C15</f>
        <v/>
      </c>
      <c r="D37" s="18">
        <f>'CC Detail'!D15</f>
        <v/>
      </c>
      <c r="E37" s="18">
        <f>'CC Detail'!E15</f>
        <v/>
      </c>
      <c r="F37" s="18">
        <f>'CC Detail'!F15</f>
        <v/>
      </c>
      <c r="G37" s="18">
        <f>'CC Detail'!G15</f>
        <v/>
      </c>
      <c r="H37" s="18">
        <f>'CC Detail'!H15</f>
        <v/>
      </c>
      <c r="I37" s="18">
        <f>'CC Detail'!I15</f>
        <v/>
      </c>
      <c r="J37" s="18">
        <f>'CC Detail'!J15</f>
        <v/>
      </c>
      <c r="K37" s="18">
        <f>'CC Detail'!K15</f>
        <v/>
      </c>
      <c r="L37" s="18">
        <f>'CC Detail'!L15</f>
        <v/>
      </c>
      <c r="M37" s="18">
        <f>'CC Detail'!M15</f>
        <v/>
      </c>
      <c r="N37">
        <f>SUM(B37:M37)</f>
        <v/>
      </c>
    </row>
    <row r="38">
      <c r="A38" t="inlineStr">
        <is>
          <t xml:space="preserve">    Gifts / Donations</t>
        </is>
      </c>
      <c r="B38" s="18">
        <f>'CC Detail'!B16</f>
        <v/>
      </c>
      <c r="C38" s="18">
        <f>'CC Detail'!C16</f>
        <v/>
      </c>
      <c r="D38" s="18">
        <f>'CC Detail'!D16</f>
        <v/>
      </c>
      <c r="E38" s="18">
        <f>'CC Detail'!E16</f>
        <v/>
      </c>
      <c r="F38" s="18">
        <f>'CC Detail'!F16</f>
        <v/>
      </c>
      <c r="G38" s="18">
        <f>'CC Detail'!G16</f>
        <v/>
      </c>
      <c r="H38" s="18">
        <f>'CC Detail'!H16</f>
        <v/>
      </c>
      <c r="I38" s="18">
        <f>'CC Detail'!I16</f>
        <v/>
      </c>
      <c r="J38" s="18">
        <f>'CC Detail'!J16</f>
        <v/>
      </c>
      <c r="K38" s="18">
        <f>'CC Detail'!K16</f>
        <v/>
      </c>
      <c r="L38" s="18">
        <f>'CC Detail'!L16</f>
        <v/>
      </c>
      <c r="M38" s="18">
        <f>'CC Detail'!M16</f>
        <v/>
      </c>
      <c r="N38">
        <f>SUM(B38:M38)</f>
        <v/>
      </c>
    </row>
    <row r="39">
      <c r="A39" t="inlineStr">
        <is>
          <t xml:space="preserve">    Other / misc</t>
        </is>
      </c>
      <c r="B39" s="18">
        <f>'CC Detail'!B17</f>
        <v/>
      </c>
      <c r="C39" s="18">
        <f>'CC Detail'!C17</f>
        <v/>
      </c>
      <c r="D39" s="18">
        <f>'CC Detail'!D17</f>
        <v/>
      </c>
      <c r="E39" s="18">
        <f>'CC Detail'!E17</f>
        <v/>
      </c>
      <c r="F39" s="18">
        <f>'CC Detail'!F17</f>
        <v/>
      </c>
      <c r="G39" s="18">
        <f>'CC Detail'!G17</f>
        <v/>
      </c>
      <c r="H39" s="18">
        <f>'CC Detail'!H17</f>
        <v/>
      </c>
      <c r="I39" s="18">
        <f>'CC Detail'!I17</f>
        <v/>
      </c>
      <c r="J39" s="18">
        <f>'CC Detail'!J17</f>
        <v/>
      </c>
      <c r="K39" s="18">
        <f>'CC Detail'!K17</f>
        <v/>
      </c>
      <c r="L39" s="18">
        <f>'CC Detail'!L17</f>
        <v/>
      </c>
      <c r="M39" s="18">
        <f>'CC Detail'!M17</f>
        <v/>
      </c>
      <c r="N39">
        <f>SUM(B39:M39)</f>
        <v/>
      </c>
    </row>
    <row r="40">
      <c r="A40" s="27" t="inlineStr">
        <is>
          <t>Total Variable Spending</t>
        </is>
      </c>
      <c r="B40" s="28">
        <f>SUM(B27:B39)</f>
        <v/>
      </c>
      <c r="C40" s="28">
        <f>SUM(C27:C39)</f>
        <v/>
      </c>
      <c r="D40" s="28">
        <f>SUM(D27:D39)</f>
        <v/>
      </c>
      <c r="E40" s="28">
        <f>SUM(E27:E39)</f>
        <v/>
      </c>
      <c r="F40" s="28">
        <f>SUM(F27:F39)</f>
        <v/>
      </c>
      <c r="G40" s="28">
        <f>SUM(G27:G39)</f>
        <v/>
      </c>
      <c r="H40" s="28">
        <f>SUM(H27:H39)</f>
        <v/>
      </c>
      <c r="I40" s="28">
        <f>SUM(I27:I39)</f>
        <v/>
      </c>
      <c r="J40" s="28">
        <f>SUM(J27:J39)</f>
        <v/>
      </c>
      <c r="K40" s="28">
        <f>SUM(K27:K39)</f>
        <v/>
      </c>
      <c r="L40" s="28">
        <f>SUM(L27:L39)</f>
        <v/>
      </c>
      <c r="M40" s="28">
        <f>SUM(M27:M39)</f>
        <v/>
      </c>
      <c r="N40" s="27">
        <f>SUM(N27:N39)</f>
        <v/>
      </c>
    </row>
    <row r="41"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</row>
    <row r="42">
      <c r="A42" s="24" t="inlineStr">
        <is>
          <t>ONE-TIME / LARGE ITEMS</t>
        </is>
      </c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6" t="n"/>
    </row>
    <row r="43">
      <c r="A43" t="inlineStr">
        <is>
          <t xml:space="preserve">    One-time / large item 1</t>
        </is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>
        <f>SUM(B43:M43)</f>
        <v/>
      </c>
    </row>
    <row r="44">
      <c r="A44" t="inlineStr">
        <is>
          <t xml:space="preserve">    One-time / large item 2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>
        <f>SUM(B44:M44)</f>
        <v/>
      </c>
    </row>
    <row r="45">
      <c r="A45" s="27" t="inlineStr">
        <is>
          <t>Total One-Time</t>
        </is>
      </c>
      <c r="B45" s="28">
        <f>SUM(B43:B44)</f>
        <v/>
      </c>
      <c r="C45" s="28">
        <f>SUM(C43:C44)</f>
        <v/>
      </c>
      <c r="D45" s="28">
        <f>SUM(D43:D44)</f>
        <v/>
      </c>
      <c r="E45" s="28">
        <f>SUM(E43:E44)</f>
        <v/>
      </c>
      <c r="F45" s="28">
        <f>SUM(F43:F44)</f>
        <v/>
      </c>
      <c r="G45" s="28">
        <f>SUM(G43:G44)</f>
        <v/>
      </c>
      <c r="H45" s="28">
        <f>SUM(H43:H44)</f>
        <v/>
      </c>
      <c r="I45" s="28">
        <f>SUM(I43:I44)</f>
        <v/>
      </c>
      <c r="J45" s="28">
        <f>SUM(J43:J44)</f>
        <v/>
      </c>
      <c r="K45" s="28">
        <f>SUM(K43:K44)</f>
        <v/>
      </c>
      <c r="L45" s="28">
        <f>SUM(L43:L44)</f>
        <v/>
      </c>
      <c r="M45" s="28">
        <f>SUM(M43:M44)</f>
        <v/>
      </c>
      <c r="N45" s="27">
        <f>SUM(N43:N44)</f>
        <v/>
      </c>
    </row>
    <row r="46"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</row>
    <row r="47">
      <c r="A47" s="29" t="inlineStr">
        <is>
          <t>TOTAL EXPENSES</t>
        </is>
      </c>
      <c r="B47" s="30">
        <f>B18+B24+B40+B45</f>
        <v/>
      </c>
      <c r="C47" s="30">
        <f>C18+C24+C40+C45</f>
        <v/>
      </c>
      <c r="D47" s="30">
        <f>D18+D24+D40+D45</f>
        <v/>
      </c>
      <c r="E47" s="30">
        <f>E18+E24+E40+E45</f>
        <v/>
      </c>
      <c r="F47" s="30">
        <f>F18+F24+F40+F45</f>
        <v/>
      </c>
      <c r="G47" s="30">
        <f>G18+G24+G40+G45</f>
        <v/>
      </c>
      <c r="H47" s="30">
        <f>H18+H24+H40+H45</f>
        <v/>
      </c>
      <c r="I47" s="30">
        <f>I18+I24+I40+I45</f>
        <v/>
      </c>
      <c r="J47" s="30">
        <f>J18+J24+J40+J45</f>
        <v/>
      </c>
      <c r="K47" s="30">
        <f>K18+K24+K40+K45</f>
        <v/>
      </c>
      <c r="L47" s="30">
        <f>L18+L24+L40+L45</f>
        <v/>
      </c>
      <c r="M47" s="30">
        <f>M18+M24+M40+M45</f>
        <v/>
      </c>
      <c r="N47" s="29">
        <f>N18+N24+N40+N45</f>
        <v/>
      </c>
    </row>
    <row r="48">
      <c r="A48" s="31" t="inlineStr">
        <is>
          <t>NET CASH FLOW (Income − Expenses)</t>
        </is>
      </c>
      <c r="B48" s="32">
        <f>B9-B47</f>
        <v/>
      </c>
      <c r="C48" s="32">
        <f>C9-C47</f>
        <v/>
      </c>
      <c r="D48" s="32">
        <f>D9-D47</f>
        <v/>
      </c>
      <c r="E48" s="32">
        <f>E9-E47</f>
        <v/>
      </c>
      <c r="F48" s="32">
        <f>F9-F47</f>
        <v/>
      </c>
      <c r="G48" s="32">
        <f>G9-G47</f>
        <v/>
      </c>
      <c r="H48" s="32">
        <f>H9-H47</f>
        <v/>
      </c>
      <c r="I48" s="32">
        <f>I9-I47</f>
        <v/>
      </c>
      <c r="J48" s="32">
        <f>J9-J47</f>
        <v/>
      </c>
      <c r="K48" s="32">
        <f>K9-K47</f>
        <v/>
      </c>
      <c r="L48" s="32">
        <f>L9-L47</f>
        <v/>
      </c>
      <c r="M48" s="32">
        <f>M9-M47</f>
        <v/>
      </c>
      <c r="N48" s="31">
        <f>N9-N47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33" t="inlineStr">
        <is>
          <t>Variable Spending Detail (auto-populated by Categorize &amp; Roll Up)</t>
        </is>
      </c>
    </row>
    <row r="4">
      <c r="A4" s="9" t="inlineStr">
        <is>
          <t>Category</t>
        </is>
      </c>
      <c r="B4" s="9" t="inlineStr">
        <is>
          <t>Jan</t>
        </is>
      </c>
      <c r="C4" s="9" t="inlineStr">
        <is>
          <t>Feb</t>
        </is>
      </c>
      <c r="D4" s="9" t="inlineStr">
        <is>
          <t>Mar</t>
        </is>
      </c>
      <c r="E4" s="9" t="inlineStr">
        <is>
          <t>Apr</t>
        </is>
      </c>
      <c r="F4" s="9" t="inlineStr">
        <is>
          <t>May</t>
        </is>
      </c>
      <c r="G4" s="9" t="inlineStr">
        <is>
          <t>Jun</t>
        </is>
      </c>
      <c r="H4" s="9" t="inlineStr">
        <is>
          <t>Jul</t>
        </is>
      </c>
      <c r="I4" s="9" t="inlineStr">
        <is>
          <t>Aug</t>
        </is>
      </c>
      <c r="J4" s="9" t="inlineStr">
        <is>
          <t>Sep</t>
        </is>
      </c>
      <c r="K4" s="9" t="inlineStr">
        <is>
          <t>Oct</t>
        </is>
      </c>
      <c r="L4" s="9" t="inlineStr">
        <is>
          <t>Nov</t>
        </is>
      </c>
      <c r="M4" s="9" t="inlineStr">
        <is>
          <t>Dec</t>
        </is>
      </c>
      <c r="N4" s="9" t="inlineStr">
        <is>
          <t>YTD</t>
        </is>
      </c>
    </row>
    <row r="5">
      <c r="A5" t="inlineStr">
        <is>
          <t>Groceries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>
        <f>SUM(B5:M5)</f>
        <v/>
      </c>
    </row>
    <row r="6">
      <c r="A6" t="inlineStr">
        <is>
          <t>Dining out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>
        <f>SUM(B6:M6)</f>
        <v/>
      </c>
    </row>
    <row r="7">
      <c r="A7" t="inlineStr">
        <is>
          <t>Fuel / Transport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>
        <f>SUM(B7:M7)</f>
        <v/>
      </c>
    </row>
    <row r="8">
      <c r="A8" t="inlineStr">
        <is>
          <t>Subscriptions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>
        <f>SUM(B8:M8)</f>
        <v/>
      </c>
    </row>
    <row r="9">
      <c r="A9" t="inlineStr">
        <is>
          <t>Kids / Activities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>
        <f>SUM(B9:M9)</f>
        <v/>
      </c>
    </row>
    <row r="10">
      <c r="A10" t="inlineStr">
        <is>
          <t>Travel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>
        <f>SUM(B10:M10)</f>
        <v/>
      </c>
    </row>
    <row r="11">
      <c r="A11" t="inlineStr">
        <is>
          <t>Personal Care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>
        <f>SUM(B11:M11)</f>
        <v/>
      </c>
    </row>
    <row r="12">
      <c r="A12" t="inlineStr">
        <is>
          <t>Health / Pharmacy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>
        <f>SUM(B12:M12)</f>
        <v/>
      </c>
    </row>
    <row r="13">
      <c r="A13" t="inlineStr">
        <is>
          <t>Home / Hardware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>
        <f>SUM(B13:M13)</f>
        <v/>
      </c>
    </row>
    <row r="14">
      <c r="A14" t="inlineStr">
        <is>
          <t>Shopping (Amazon/misc)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>
        <f>SUM(B14:M14)</f>
        <v/>
      </c>
    </row>
    <row r="15">
      <c r="A15" t="inlineStr">
        <is>
          <t>Entertainment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>
        <f>SUM(B15:M15)</f>
        <v/>
      </c>
    </row>
    <row r="16">
      <c r="A16" t="inlineStr">
        <is>
          <t>Gifts / Donations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>
        <f>SUM(B16:M16)</f>
        <v/>
      </c>
    </row>
    <row r="17">
      <c r="A17" t="inlineStr">
        <is>
          <t>Other / misc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>
        <f>SUM(B17:M17)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33" t="inlineStr">
        <is>
          <t>Balances — Assets, Liabilities &amp; Net Worth (2026)</t>
        </is>
      </c>
    </row>
    <row r="3">
      <c r="A3" s="9" t="inlineStr">
        <is>
          <t>Item</t>
        </is>
      </c>
      <c r="B3" s="23" t="inlineStr">
        <is>
          <t>Jan</t>
        </is>
      </c>
      <c r="C3" s="23" t="inlineStr">
        <is>
          <t>Feb</t>
        </is>
      </c>
      <c r="D3" s="23" t="inlineStr">
        <is>
          <t>Mar</t>
        </is>
      </c>
      <c r="E3" s="23" t="inlineStr">
        <is>
          <t>Apr</t>
        </is>
      </c>
      <c r="F3" s="23" t="inlineStr">
        <is>
          <t>May</t>
        </is>
      </c>
      <c r="G3" s="23" t="inlineStr">
        <is>
          <t>Jun</t>
        </is>
      </c>
      <c r="H3" s="23" t="inlineStr">
        <is>
          <t>Jul</t>
        </is>
      </c>
      <c r="I3" s="23" t="inlineStr">
        <is>
          <t>Aug</t>
        </is>
      </c>
      <c r="J3" s="23" t="inlineStr">
        <is>
          <t>Sep</t>
        </is>
      </c>
      <c r="K3" s="23" t="inlineStr">
        <is>
          <t>Oct</t>
        </is>
      </c>
      <c r="L3" s="23" t="inlineStr">
        <is>
          <t>Nov</t>
        </is>
      </c>
      <c r="M3" s="23" t="inlineStr">
        <is>
          <t>Dec</t>
        </is>
      </c>
    </row>
    <row r="4">
      <c r="A4" s="24" t="inlineStr">
        <is>
          <t>ASSETS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</row>
    <row r="5">
      <c r="A5" t="inlineStr">
        <is>
          <t xml:space="preserve">    Cash / checking / savings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6">
      <c r="A6" t="inlineStr">
        <is>
          <t xml:space="preserve">    Taxable investments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t="inlineStr">
        <is>
          <t xml:space="preserve">    Retirement (401k / IRA)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t="inlineStr">
        <is>
          <t xml:space="preserve">    Real estate value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t="inlineStr">
        <is>
          <t xml:space="preserve">    Other assets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27" t="inlineStr">
        <is>
          <t>Total Assets</t>
        </is>
      </c>
      <c r="B10" s="28">
        <f>SUM(B5:B9)</f>
        <v/>
      </c>
      <c r="C10" s="28">
        <f>SUM(C5:C9)</f>
        <v/>
      </c>
      <c r="D10" s="28">
        <f>SUM(D5:D9)</f>
        <v/>
      </c>
      <c r="E10" s="28">
        <f>SUM(E5:E9)</f>
        <v/>
      </c>
      <c r="F10" s="28">
        <f>SUM(F5:F9)</f>
        <v/>
      </c>
      <c r="G10" s="28">
        <f>SUM(G5:G9)</f>
        <v/>
      </c>
      <c r="H10" s="28">
        <f>SUM(H5:H9)</f>
        <v/>
      </c>
      <c r="I10" s="28">
        <f>SUM(I5:I9)</f>
        <v/>
      </c>
      <c r="J10" s="28">
        <f>SUM(J5:J9)</f>
        <v/>
      </c>
      <c r="K10" s="28">
        <f>SUM(K5:K9)</f>
        <v/>
      </c>
      <c r="L10" s="28">
        <f>SUM(L5:L9)</f>
        <v/>
      </c>
      <c r="M10" s="28">
        <f>SUM(M5:M9)</f>
        <v/>
      </c>
      <c r="O10" s="18">
        <f>IFERROR(LOOKUP(2,1/(B10:M10&lt;&gt;""),B10:M10),0)</f>
        <v/>
      </c>
    </row>
    <row r="11"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  <row r="12">
      <c r="A12" s="24" t="inlineStr">
        <is>
          <t>LIABILITIES</t>
        </is>
      </c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</row>
    <row r="13">
      <c r="A13" t="inlineStr">
        <is>
          <t xml:space="preserve">    Mortgage balance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t="inlineStr">
        <is>
          <t xml:space="preserve">    Auto / student loans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t="inlineStr">
        <is>
          <t xml:space="preserve">    Credit card balances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t="inlineStr">
        <is>
          <t xml:space="preserve">    Other debt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27" t="inlineStr">
        <is>
          <t>Total Liabilities</t>
        </is>
      </c>
      <c r="B17" s="28">
        <f>SUM(B13:B16)</f>
        <v/>
      </c>
      <c r="C17" s="28">
        <f>SUM(C13:C16)</f>
        <v/>
      </c>
      <c r="D17" s="28">
        <f>SUM(D13:D16)</f>
        <v/>
      </c>
      <c r="E17" s="28">
        <f>SUM(E13:E16)</f>
        <v/>
      </c>
      <c r="F17" s="28">
        <f>SUM(F13:F16)</f>
        <v/>
      </c>
      <c r="G17" s="28">
        <f>SUM(G13:G16)</f>
        <v/>
      </c>
      <c r="H17" s="28">
        <f>SUM(H13:H16)</f>
        <v/>
      </c>
      <c r="I17" s="28">
        <f>SUM(I13:I16)</f>
        <v/>
      </c>
      <c r="J17" s="28">
        <f>SUM(J13:J16)</f>
        <v/>
      </c>
      <c r="K17" s="28">
        <f>SUM(K13:K16)</f>
        <v/>
      </c>
      <c r="L17" s="28">
        <f>SUM(L13:L16)</f>
        <v/>
      </c>
      <c r="M17" s="28">
        <f>SUM(M13:M16)</f>
        <v/>
      </c>
    </row>
    <row r="18"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  <row r="19">
      <c r="A19" s="31" t="inlineStr">
        <is>
          <t>NET WORTH</t>
        </is>
      </c>
      <c r="B19" s="32">
        <f>B10-B17</f>
        <v/>
      </c>
      <c r="C19" s="32">
        <f>C10-C17</f>
        <v/>
      </c>
      <c r="D19" s="32">
        <f>D10-D17</f>
        <v/>
      </c>
      <c r="E19" s="32">
        <f>E10-E17</f>
        <v/>
      </c>
      <c r="F19" s="32">
        <f>F10-F17</f>
        <v/>
      </c>
      <c r="G19" s="32">
        <f>G10-G17</f>
        <v/>
      </c>
      <c r="H19" s="32">
        <f>H10-H17</f>
        <v/>
      </c>
      <c r="I19" s="32">
        <f>I10-I17</f>
        <v/>
      </c>
      <c r="J19" s="32">
        <f>J10-J17</f>
        <v/>
      </c>
      <c r="K19" s="32">
        <f>K10-K17</f>
        <v/>
      </c>
      <c r="L19" s="32">
        <f>L10-L17</f>
        <v/>
      </c>
      <c r="M19" s="32">
        <f>M10-M17</f>
        <v/>
      </c>
      <c r="O19" s="18">
        <f>IFERROR(LOOKUP(2,1/(B19:M19&lt;&gt;""),B19:M19),0)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2" customWidth="1" min="4" max="4"/>
    <col width="13" customWidth="1" min="5" max="5"/>
    <col width="26" customWidth="1" min="7" max="7"/>
    <col width="16" customWidth="1" min="8" max="8"/>
  </cols>
  <sheetData>
    <row r="1">
      <c r="A1" s="21" t="inlineStr">
        <is>
          <t>Amazon Reconciliation</t>
        </is>
      </c>
    </row>
    <row r="2">
      <c r="A2" s="12" t="inlineStr">
        <is>
          <t>Split lumped Amazon card charges into real categories by matching your itemized order history.</t>
        </is>
      </c>
    </row>
    <row r="3">
      <c r="A3" t="inlineStr">
        <is>
          <t>Match keyword in Imports:</t>
        </is>
      </c>
      <c r="B3" s="34" t="inlineStr">
        <is>
          <t>AMAZON</t>
        </is>
      </c>
      <c r="C3" s="12" t="inlineStr">
        <is>
          <t>(descriptions containing this are treated as Amazon; AMZN is also matched)</t>
        </is>
      </c>
    </row>
    <row r="5">
      <c r="A5" s="16" t="inlineStr">
        <is>
          <t>STATEMENT CHARGES (auto from Imports)</t>
        </is>
      </c>
      <c r="B5" s="26" t="n"/>
      <c r="C5" s="26" t="n"/>
      <c r="D5" s="26" t="n"/>
      <c r="E5" s="26" t="n"/>
      <c r="F5" s="26" t="n"/>
      <c r="G5" s="24" t="inlineStr">
        <is>
          <t>RECONCILIATION</t>
        </is>
      </c>
      <c r="H5" s="26" t="n"/>
      <c r="I5" s="26" t="n"/>
      <c r="J5" s="26" t="n"/>
      <c r="K5" s="26" t="n"/>
      <c r="L5" s="26" t="n"/>
      <c r="M5" s="26" t="n"/>
    </row>
    <row r="6">
      <c r="B6" s="23" t="inlineStr">
        <is>
          <t>Jan</t>
        </is>
      </c>
      <c r="C6" s="23" t="inlineStr">
        <is>
          <t>Feb</t>
        </is>
      </c>
      <c r="D6" s="23" t="inlineStr">
        <is>
          <t>Mar</t>
        </is>
      </c>
      <c r="E6" s="23" t="inlineStr">
        <is>
          <t>Apr</t>
        </is>
      </c>
      <c r="F6" s="23" t="inlineStr">
        <is>
          <t>May</t>
        </is>
      </c>
      <c r="G6" s="23" t="inlineStr">
        <is>
          <t>Itemized orders total</t>
        </is>
      </c>
      <c r="H6" s="35">
        <f>SUM(E11:E510)</f>
        <v/>
      </c>
      <c r="I6" s="23" t="inlineStr">
        <is>
          <t>Aug</t>
        </is>
      </c>
      <c r="J6" s="23" t="inlineStr">
        <is>
          <t>Sep</t>
        </is>
      </c>
      <c r="K6" s="23" t="inlineStr">
        <is>
          <t>Oct</t>
        </is>
      </c>
      <c r="L6" s="23" t="inlineStr">
        <is>
          <t>Nov</t>
        </is>
      </c>
      <c r="M6" s="23" t="inlineStr">
        <is>
          <t>Dec</t>
        </is>
      </c>
    </row>
    <row r="7">
      <c r="A7" t="inlineStr">
        <is>
          <t>Amazon charged to cards</t>
        </is>
      </c>
      <c r="B7" s="36">
        <f>-SUMIFS(Imports!$C$5:$C,Imports!$B$5:$B,"*"&amp;$B$3&amp;"*",Imports!$A$5:$A,"&gt;="&amp;DATE(2026,1,1),Imports!$A$5:$A,"&lt;"&amp;EDATE(DATE(2026,1,1),1))-SUMIFS(Imports!$C$5:$C,Imports!$B$5:$B,"*AMZN*",Imports!$A$5:$A,"&gt;="&amp;DATE(2026,1,1),Imports!$A$5:$A,"&lt;"&amp;EDATE(DATE(2026,1,1),1))</f>
        <v/>
      </c>
      <c r="C7" s="36">
        <f>-SUMIFS(Imports!$C$5:$C,Imports!$B$5:$B,"*"&amp;$B$3&amp;"*",Imports!$A$5:$A,"&gt;="&amp;DATE(2026,2,1),Imports!$A$5:$A,"&lt;"&amp;EDATE(DATE(2026,2,1),1))-SUMIFS(Imports!$C$5:$C,Imports!$B$5:$B,"*AMZN*",Imports!$A$5:$A,"&gt;="&amp;DATE(2026,2,1),Imports!$A$5:$A,"&lt;"&amp;EDATE(DATE(2026,2,1),1))</f>
        <v/>
      </c>
      <c r="D7" s="36">
        <f>-SUMIFS(Imports!$C$5:$C,Imports!$B$5:$B,"*"&amp;$B$3&amp;"*",Imports!$A$5:$A,"&gt;="&amp;DATE(2026,3,1),Imports!$A$5:$A,"&lt;"&amp;EDATE(DATE(2026,3,1),1))-SUMIFS(Imports!$C$5:$C,Imports!$B$5:$B,"*AMZN*",Imports!$A$5:$A,"&gt;="&amp;DATE(2026,3,1),Imports!$A$5:$A,"&lt;"&amp;EDATE(DATE(2026,3,1),1))</f>
        <v/>
      </c>
      <c r="E7" s="36">
        <f>-SUMIFS(Imports!$C$5:$C,Imports!$B$5:$B,"*"&amp;$B$3&amp;"*",Imports!$A$5:$A,"&gt;="&amp;DATE(2026,4,1),Imports!$A$5:$A,"&lt;"&amp;EDATE(DATE(2026,4,1),1))-SUMIFS(Imports!$C$5:$C,Imports!$B$5:$B,"*AMZN*",Imports!$A$5:$A,"&gt;="&amp;DATE(2026,4,1),Imports!$A$5:$A,"&lt;"&amp;EDATE(DATE(2026,4,1),1))</f>
        <v/>
      </c>
      <c r="F7" s="36">
        <f>-SUMIFS(Imports!$C$5:$C,Imports!$B$5:$B,"*"&amp;$B$3&amp;"*",Imports!$A$5:$A,"&gt;="&amp;DATE(2026,5,1),Imports!$A$5:$A,"&lt;"&amp;EDATE(DATE(2026,5,1),1))-SUMIFS(Imports!$C$5:$C,Imports!$B$5:$B,"*AMZN*",Imports!$A$5:$A,"&gt;="&amp;DATE(2026,5,1),Imports!$A$5:$A,"&lt;"&amp;EDATE(DATE(2026,5,1),1))</f>
        <v/>
      </c>
      <c r="G7" s="36" t="inlineStr">
        <is>
          <t>Statement charges total (YTD)</t>
        </is>
      </c>
      <c r="H7" s="36">
        <f>N7</f>
        <v/>
      </c>
      <c r="I7" s="36">
        <f>-SUMIFS(Imports!$C$5:$C,Imports!$B$5:$B,"*"&amp;$B$3&amp;"*",Imports!$A$5:$A,"&gt;="&amp;DATE(2026,8,1),Imports!$A$5:$A,"&lt;"&amp;EDATE(DATE(2026,8,1),1))-SUMIFS(Imports!$C$5:$C,Imports!$B$5:$B,"*AMZN*",Imports!$A$5:$A,"&gt;="&amp;DATE(2026,8,1),Imports!$A$5:$A,"&lt;"&amp;EDATE(DATE(2026,8,1),1))</f>
        <v/>
      </c>
      <c r="J7" s="36">
        <f>-SUMIFS(Imports!$C$5:$C,Imports!$B$5:$B,"*"&amp;$B$3&amp;"*",Imports!$A$5:$A,"&gt;="&amp;DATE(2026,9,1),Imports!$A$5:$A,"&lt;"&amp;EDATE(DATE(2026,9,1),1))-SUMIFS(Imports!$C$5:$C,Imports!$B$5:$B,"*AMZN*",Imports!$A$5:$A,"&gt;="&amp;DATE(2026,9,1),Imports!$A$5:$A,"&lt;"&amp;EDATE(DATE(2026,9,1),1))</f>
        <v/>
      </c>
      <c r="K7" s="36">
        <f>-SUMIFS(Imports!$C$5:$C,Imports!$B$5:$B,"*"&amp;$B$3&amp;"*",Imports!$A$5:$A,"&gt;="&amp;DATE(2026,10,1),Imports!$A$5:$A,"&lt;"&amp;EDATE(DATE(2026,10,1),1))-SUMIFS(Imports!$C$5:$C,Imports!$B$5:$B,"*AMZN*",Imports!$A$5:$A,"&gt;="&amp;DATE(2026,10,1),Imports!$A$5:$A,"&lt;"&amp;EDATE(DATE(2026,10,1),1))</f>
        <v/>
      </c>
      <c r="L7" s="36">
        <f>-SUMIFS(Imports!$C$5:$C,Imports!$B$5:$B,"*"&amp;$B$3&amp;"*",Imports!$A$5:$A,"&gt;="&amp;DATE(2026,11,1),Imports!$A$5:$A,"&lt;"&amp;EDATE(DATE(2026,11,1),1))-SUMIFS(Imports!$C$5:$C,Imports!$B$5:$B,"*AMZN*",Imports!$A$5:$A,"&gt;="&amp;DATE(2026,11,1),Imports!$A$5:$A,"&lt;"&amp;EDATE(DATE(2026,11,1),1))</f>
        <v/>
      </c>
      <c r="M7" s="36">
        <f>-SUMIFS(Imports!$C$5:$C,Imports!$B$5:$B,"*"&amp;$B$3&amp;"*",Imports!$A$5:$A,"&gt;="&amp;DATE(2026,12,1),Imports!$A$5:$A,"&lt;"&amp;EDATE(DATE(2026,12,1),1))-SUMIFS(Imports!$C$5:$C,Imports!$B$5:$B,"*AMZN*",Imports!$A$5:$A,"&gt;="&amp;DATE(2026,12,1),Imports!$A$5:$A,"&lt;"&amp;EDATE(DATE(2026,12,1),1))</f>
        <v/>
      </c>
      <c r="N7" s="36">
        <f>SUM(B7:M7)</f>
        <v/>
      </c>
    </row>
    <row r="8">
      <c r="G8" t="inlineStr">
        <is>
          <t>Unreconciled difference</t>
        </is>
      </c>
      <c r="H8" s="36">
        <f>H7-H6</f>
        <v/>
      </c>
    </row>
    <row r="9">
      <c r="A9" s="16" t="inlineStr">
        <is>
          <t>ITEMIZED ORDERS (paste your Amazon order history below)</t>
        </is>
      </c>
      <c r="B9" s="26" t="n"/>
      <c r="C9" s="26" t="n"/>
      <c r="D9" s="26" t="n"/>
      <c r="E9" s="26" t="n"/>
      <c r="G9" t="inlineStr">
        <is>
          <t>Status</t>
        </is>
      </c>
      <c r="H9">
        <f>IF(ABS(H8)&lt;1,"Reconciled ✔","Unreconciled: "&amp;TEXT(H8,"$#,##0.00"))</f>
        <v/>
      </c>
    </row>
    <row r="10">
      <c r="A10" s="9" t="inlineStr">
        <is>
          <t>Order date</t>
        </is>
      </c>
      <c r="B10" s="9" t="inlineStr">
        <is>
          <t>Order #</t>
        </is>
      </c>
      <c r="C10" s="9" t="inlineStr">
        <is>
          <t>Item / description</t>
        </is>
      </c>
      <c r="D10" s="9" t="inlineStr">
        <is>
          <t>Category</t>
        </is>
      </c>
      <c r="E10" s="9" t="inlineStr">
        <is>
          <t>Amount</t>
        </is>
      </c>
    </row>
    <row r="11">
      <c r="A11" s="37" t="n"/>
      <c r="E11" s="36" t="n"/>
      <c r="G11" s="16" t="inlineStr">
        <is>
          <t>By category (from itemized orders):</t>
        </is>
      </c>
    </row>
    <row r="12">
      <c r="A12" s="37" t="n"/>
      <c r="E12" s="36" t="n"/>
      <c r="G12" t="inlineStr">
        <is>
          <t>Groceries</t>
        </is>
      </c>
      <c r="H12" s="36">
        <f>SUMIF($D$11:$D510,G12,$E$11:$E510)</f>
        <v/>
      </c>
    </row>
    <row r="13">
      <c r="A13" s="37" t="n"/>
      <c r="E13" s="36" t="n"/>
      <c r="G13" t="inlineStr">
        <is>
          <t>Dining out</t>
        </is>
      </c>
      <c r="H13" s="36">
        <f>SUMIF($D$11:$D510,G13,$E$11:$E510)</f>
        <v/>
      </c>
    </row>
    <row r="14">
      <c r="A14" s="37" t="n"/>
      <c r="E14" s="36" t="n"/>
      <c r="G14" t="inlineStr">
        <is>
          <t>Fuel / Transport</t>
        </is>
      </c>
      <c r="H14" s="36">
        <f>SUMIF($D$11:$D510,G14,$E$11:$E510)</f>
        <v/>
      </c>
    </row>
    <row r="15">
      <c r="A15" s="37" t="n"/>
      <c r="E15" s="36" t="n"/>
      <c r="G15" t="inlineStr">
        <is>
          <t>Subscriptions</t>
        </is>
      </c>
      <c r="H15" s="36">
        <f>SUMIF($D$11:$D510,G15,$E$11:$E510)</f>
        <v/>
      </c>
    </row>
    <row r="16">
      <c r="A16" s="37" t="n"/>
      <c r="E16" s="36" t="n"/>
      <c r="G16" t="inlineStr">
        <is>
          <t>Kids / Activities</t>
        </is>
      </c>
      <c r="H16" s="36">
        <f>SUMIF($D$11:$D510,G16,$E$11:$E510)</f>
        <v/>
      </c>
    </row>
    <row r="17">
      <c r="A17" s="37" t="n"/>
      <c r="E17" s="36" t="n"/>
      <c r="G17" t="inlineStr">
        <is>
          <t>Travel</t>
        </is>
      </c>
      <c r="H17" s="36">
        <f>SUMIF($D$11:$D510,G17,$E$11:$E510)</f>
        <v/>
      </c>
    </row>
    <row r="18">
      <c r="A18" s="37" t="n"/>
      <c r="E18" s="36" t="n"/>
      <c r="G18" t="inlineStr">
        <is>
          <t>Personal Care</t>
        </is>
      </c>
      <c r="H18" s="36">
        <f>SUMIF($D$11:$D510,G18,$E$11:$E510)</f>
        <v/>
      </c>
    </row>
    <row r="19">
      <c r="A19" s="37" t="n"/>
      <c r="E19" s="36" t="n"/>
      <c r="G19" t="inlineStr">
        <is>
          <t>Health / Pharmacy</t>
        </is>
      </c>
      <c r="H19" s="36">
        <f>SUMIF($D$11:$D510,G19,$E$11:$E510)</f>
        <v/>
      </c>
    </row>
    <row r="20">
      <c r="A20" s="37" t="n"/>
      <c r="E20" s="36" t="n"/>
      <c r="G20" t="inlineStr">
        <is>
          <t>Home / Hardware</t>
        </is>
      </c>
      <c r="H20" s="36">
        <f>SUMIF($D$11:$D510,G20,$E$11:$E510)</f>
        <v/>
      </c>
    </row>
    <row r="21">
      <c r="A21" s="37" t="n"/>
      <c r="E21" s="36" t="n"/>
      <c r="G21" t="inlineStr">
        <is>
          <t>Shopping (Amazon/misc)</t>
        </is>
      </c>
      <c r="H21" s="36">
        <f>SUMIF($D$11:$D510,G21,$E$11:$E510)</f>
        <v/>
      </c>
    </row>
    <row r="22">
      <c r="A22" s="37" t="n"/>
      <c r="E22" s="36" t="n"/>
      <c r="G22" t="inlineStr">
        <is>
          <t>Entertainment</t>
        </is>
      </c>
      <c r="H22" s="36">
        <f>SUMIF($D$11:$D510,G22,$E$11:$E510)</f>
        <v/>
      </c>
    </row>
    <row r="23">
      <c r="A23" s="37" t="n"/>
      <c r="E23" s="36" t="n"/>
      <c r="G23" t="inlineStr">
        <is>
          <t>Gifts / Donations</t>
        </is>
      </c>
      <c r="H23" s="36">
        <f>SUMIF($D$11:$D510,G23,$E$11:$E510)</f>
        <v/>
      </c>
    </row>
    <row r="24">
      <c r="A24" s="37" t="n"/>
      <c r="E24" s="36" t="n"/>
      <c r="G24" t="inlineStr">
        <is>
          <t>Other / misc</t>
        </is>
      </c>
      <c r="H24" s="36">
        <f>SUMIF($D$11:$D510,G24,$E$11:$E510)</f>
        <v/>
      </c>
    </row>
    <row r="25">
      <c r="A25" s="37" t="n"/>
      <c r="E25" s="36" t="n"/>
    </row>
    <row r="26">
      <c r="A26" s="37" t="n"/>
      <c r="E26" s="36" t="n"/>
    </row>
    <row r="27">
      <c r="A27" s="37" t="n"/>
      <c r="E27" s="36" t="n"/>
    </row>
    <row r="28">
      <c r="A28" s="37" t="n"/>
      <c r="E28" s="36" t="n"/>
    </row>
    <row r="29">
      <c r="A29" s="37" t="n"/>
      <c r="E29" s="36" t="n"/>
    </row>
    <row r="30">
      <c r="A30" s="37" t="n"/>
      <c r="E30" s="36" t="n"/>
    </row>
    <row r="31">
      <c r="A31" s="37" t="n"/>
      <c r="E31" s="36" t="n"/>
    </row>
    <row r="32">
      <c r="A32" s="37" t="n"/>
      <c r="E32" s="36" t="n"/>
    </row>
    <row r="33">
      <c r="A33" s="37" t="n"/>
      <c r="E33" s="36" t="n"/>
    </row>
    <row r="34">
      <c r="A34" s="37" t="n"/>
      <c r="E34" s="36" t="n"/>
    </row>
    <row r="35">
      <c r="A35" s="37" t="n"/>
      <c r="E35" s="36" t="n"/>
    </row>
    <row r="36">
      <c r="A36" s="37" t="n"/>
      <c r="E36" s="36" t="n"/>
    </row>
    <row r="37">
      <c r="A37" s="37" t="n"/>
      <c r="E37" s="36" t="n"/>
    </row>
    <row r="38">
      <c r="A38" s="37" t="n"/>
      <c r="E38" s="36" t="n"/>
    </row>
    <row r="39">
      <c r="A39" s="37" t="n"/>
      <c r="E39" s="36" t="n"/>
    </row>
    <row r="40">
      <c r="A40" s="37" t="n"/>
      <c r="E40" s="36" t="n"/>
    </row>
    <row r="41">
      <c r="A41" s="37" t="n"/>
      <c r="E41" s="36" t="n"/>
    </row>
    <row r="42">
      <c r="A42" s="37" t="n"/>
      <c r="E42" s="36" t="n"/>
    </row>
    <row r="43">
      <c r="A43" s="37" t="n"/>
      <c r="E43" s="36" t="n"/>
    </row>
    <row r="44">
      <c r="A44" s="37" t="n"/>
      <c r="E44" s="36" t="n"/>
    </row>
    <row r="45">
      <c r="A45" s="37" t="n"/>
      <c r="E45" s="36" t="n"/>
    </row>
    <row r="46">
      <c r="A46" s="37" t="n"/>
      <c r="E46" s="36" t="n"/>
    </row>
    <row r="47">
      <c r="A47" s="37" t="n"/>
      <c r="E47" s="36" t="n"/>
    </row>
    <row r="48">
      <c r="A48" s="37" t="n"/>
      <c r="E48" s="36" t="n"/>
    </row>
    <row r="49">
      <c r="A49" s="37" t="n"/>
      <c r="E49" s="36" t="n"/>
    </row>
    <row r="50">
      <c r="A50" s="37" t="n"/>
      <c r="E50" s="36" t="n"/>
    </row>
    <row r="51">
      <c r="A51" s="37" t="n"/>
      <c r="E51" s="36" t="n"/>
    </row>
    <row r="52">
      <c r="A52" s="37" t="n"/>
      <c r="E52" s="36" t="n"/>
    </row>
    <row r="53">
      <c r="A53" s="37" t="n"/>
      <c r="E53" s="36" t="n"/>
    </row>
    <row r="54">
      <c r="A54" s="37" t="n"/>
      <c r="E54" s="36" t="n"/>
    </row>
    <row r="55">
      <c r="A55" s="37" t="n"/>
      <c r="E55" s="36" t="n"/>
    </row>
    <row r="56">
      <c r="A56" s="37" t="n"/>
      <c r="E56" s="36" t="n"/>
    </row>
    <row r="57">
      <c r="A57" s="37" t="n"/>
      <c r="E57" s="36" t="n"/>
    </row>
    <row r="58">
      <c r="A58" s="37" t="n"/>
      <c r="E58" s="36" t="n"/>
    </row>
    <row r="59">
      <c r="A59" s="37" t="n"/>
      <c r="E59" s="36" t="n"/>
    </row>
    <row r="60">
      <c r="A60" s="37" t="n"/>
      <c r="E60" s="36" t="n"/>
    </row>
    <row r="61">
      <c r="A61" s="37" t="n"/>
      <c r="E61" s="36" t="n"/>
    </row>
    <row r="62">
      <c r="A62" s="37" t="n"/>
      <c r="E62" s="36" t="n"/>
    </row>
    <row r="63">
      <c r="A63" s="37" t="n"/>
      <c r="E63" s="36" t="n"/>
    </row>
    <row r="64">
      <c r="A64" s="37" t="n"/>
      <c r="E64" s="36" t="n"/>
    </row>
    <row r="65">
      <c r="A65" s="37" t="n"/>
      <c r="E65" s="36" t="n"/>
    </row>
    <row r="66">
      <c r="A66" s="37" t="n"/>
      <c r="E66" s="36" t="n"/>
    </row>
    <row r="67">
      <c r="A67" s="37" t="n"/>
      <c r="E67" s="36" t="n"/>
    </row>
    <row r="68">
      <c r="A68" s="37" t="n"/>
      <c r="E68" s="36" t="n"/>
    </row>
    <row r="69">
      <c r="A69" s="37" t="n"/>
      <c r="E69" s="36" t="n"/>
    </row>
    <row r="70">
      <c r="A70" s="37" t="n"/>
      <c r="E70" s="36" t="n"/>
    </row>
    <row r="71">
      <c r="A71" s="37" t="n"/>
      <c r="E71" s="36" t="n"/>
    </row>
    <row r="72">
      <c r="A72" s="37" t="n"/>
      <c r="E72" s="36" t="n"/>
    </row>
    <row r="73">
      <c r="A73" s="37" t="n"/>
      <c r="E73" s="36" t="n"/>
    </row>
    <row r="74">
      <c r="A74" s="37" t="n"/>
      <c r="E74" s="36" t="n"/>
    </row>
    <row r="75">
      <c r="A75" s="37" t="n"/>
      <c r="E75" s="36" t="n"/>
    </row>
    <row r="76">
      <c r="A76" s="37" t="n"/>
      <c r="E76" s="36" t="n"/>
    </row>
    <row r="77">
      <c r="A77" s="37" t="n"/>
      <c r="E77" s="36" t="n"/>
    </row>
    <row r="78">
      <c r="A78" s="37" t="n"/>
      <c r="E78" s="36" t="n"/>
    </row>
    <row r="79">
      <c r="A79" s="37" t="n"/>
      <c r="E79" s="36" t="n"/>
    </row>
    <row r="80">
      <c r="A80" s="37" t="n"/>
      <c r="E80" s="36" t="n"/>
    </row>
    <row r="81">
      <c r="A81" s="37" t="n"/>
      <c r="E81" s="36" t="n"/>
    </row>
    <row r="82">
      <c r="A82" s="37" t="n"/>
      <c r="E82" s="36" t="n"/>
    </row>
    <row r="83">
      <c r="A83" s="37" t="n"/>
      <c r="E83" s="36" t="n"/>
    </row>
    <row r="84">
      <c r="A84" s="37" t="n"/>
      <c r="E84" s="36" t="n"/>
    </row>
    <row r="85">
      <c r="A85" s="37" t="n"/>
      <c r="E85" s="36" t="n"/>
    </row>
    <row r="86">
      <c r="A86" s="37" t="n"/>
      <c r="E86" s="36" t="n"/>
    </row>
    <row r="87">
      <c r="A87" s="37" t="n"/>
      <c r="E87" s="36" t="n"/>
    </row>
    <row r="88">
      <c r="A88" s="37" t="n"/>
      <c r="E88" s="36" t="n"/>
    </row>
    <row r="89">
      <c r="A89" s="37" t="n"/>
      <c r="E89" s="36" t="n"/>
    </row>
    <row r="90">
      <c r="A90" s="37" t="n"/>
      <c r="E90" s="36" t="n"/>
    </row>
    <row r="91">
      <c r="A91" s="37" t="n"/>
      <c r="E91" s="36" t="n"/>
    </row>
    <row r="92">
      <c r="A92" s="37" t="n"/>
      <c r="E92" s="36" t="n"/>
    </row>
    <row r="93">
      <c r="A93" s="37" t="n"/>
      <c r="E93" s="36" t="n"/>
    </row>
    <row r="94">
      <c r="A94" s="37" t="n"/>
      <c r="E94" s="36" t="n"/>
    </row>
    <row r="95">
      <c r="A95" s="37" t="n"/>
      <c r="E95" s="36" t="n"/>
    </row>
    <row r="96">
      <c r="A96" s="37" t="n"/>
      <c r="E96" s="36" t="n"/>
    </row>
    <row r="97">
      <c r="A97" s="37" t="n"/>
      <c r="E97" s="36" t="n"/>
    </row>
    <row r="98">
      <c r="A98" s="37" t="n"/>
      <c r="E98" s="36" t="n"/>
    </row>
    <row r="99">
      <c r="A99" s="37" t="n"/>
      <c r="E99" s="36" t="n"/>
    </row>
    <row r="100">
      <c r="A100" s="37" t="n"/>
      <c r="E100" s="36" t="n"/>
    </row>
    <row r="101">
      <c r="A101" s="37" t="n"/>
      <c r="E101" s="36" t="n"/>
    </row>
    <row r="102">
      <c r="A102" s="37" t="n"/>
      <c r="E102" s="36" t="n"/>
    </row>
    <row r="103">
      <c r="A103" s="37" t="n"/>
      <c r="E103" s="36" t="n"/>
    </row>
    <row r="104">
      <c r="A104" s="37" t="n"/>
      <c r="E104" s="36" t="n"/>
    </row>
    <row r="105">
      <c r="A105" s="37" t="n"/>
      <c r="E105" s="36" t="n"/>
    </row>
    <row r="106">
      <c r="A106" s="37" t="n"/>
      <c r="E106" s="36" t="n"/>
    </row>
    <row r="107">
      <c r="A107" s="37" t="n"/>
      <c r="E107" s="36" t="n"/>
    </row>
    <row r="108">
      <c r="A108" s="37" t="n"/>
      <c r="E108" s="36" t="n"/>
    </row>
    <row r="109">
      <c r="A109" s="37" t="n"/>
      <c r="E109" s="36" t="n"/>
    </row>
    <row r="110">
      <c r="A110" s="37" t="n"/>
      <c r="E110" s="36" t="n"/>
    </row>
    <row r="111">
      <c r="A111" s="37" t="n"/>
      <c r="E111" s="36" t="n"/>
    </row>
    <row r="112">
      <c r="A112" s="37" t="n"/>
      <c r="E112" s="36" t="n"/>
    </row>
    <row r="113">
      <c r="A113" s="37" t="n"/>
      <c r="E113" s="36" t="n"/>
    </row>
    <row r="114">
      <c r="A114" s="37" t="n"/>
      <c r="E114" s="36" t="n"/>
    </row>
    <row r="115">
      <c r="A115" s="37" t="n"/>
      <c r="E115" s="36" t="n"/>
    </row>
    <row r="116">
      <c r="A116" s="37" t="n"/>
      <c r="E116" s="36" t="n"/>
    </row>
    <row r="117">
      <c r="A117" s="37" t="n"/>
      <c r="E117" s="36" t="n"/>
    </row>
    <row r="118">
      <c r="A118" s="37" t="n"/>
      <c r="E118" s="36" t="n"/>
    </row>
    <row r="119">
      <c r="A119" s="37" t="n"/>
      <c r="E119" s="36" t="n"/>
    </row>
    <row r="120">
      <c r="A120" s="37" t="n"/>
      <c r="E120" s="36" t="n"/>
    </row>
    <row r="121">
      <c r="A121" s="37" t="n"/>
      <c r="E121" s="36" t="n"/>
    </row>
    <row r="122">
      <c r="A122" s="37" t="n"/>
      <c r="E122" s="36" t="n"/>
    </row>
    <row r="123">
      <c r="A123" s="37" t="n"/>
      <c r="E123" s="36" t="n"/>
    </row>
    <row r="124">
      <c r="A124" s="37" t="n"/>
      <c r="E124" s="36" t="n"/>
    </row>
    <row r="125">
      <c r="A125" s="37" t="n"/>
      <c r="E125" s="36" t="n"/>
    </row>
    <row r="126">
      <c r="A126" s="37" t="n"/>
      <c r="E126" s="36" t="n"/>
    </row>
    <row r="127">
      <c r="A127" s="37" t="n"/>
      <c r="E127" s="36" t="n"/>
    </row>
    <row r="128">
      <c r="A128" s="37" t="n"/>
      <c r="E128" s="36" t="n"/>
    </row>
    <row r="129">
      <c r="A129" s="37" t="n"/>
      <c r="E129" s="36" t="n"/>
    </row>
    <row r="130">
      <c r="A130" s="37" t="n"/>
      <c r="E130" s="36" t="n"/>
    </row>
    <row r="131">
      <c r="A131" s="37" t="n"/>
      <c r="E131" s="36" t="n"/>
    </row>
    <row r="132">
      <c r="A132" s="37" t="n"/>
      <c r="E132" s="36" t="n"/>
    </row>
    <row r="133">
      <c r="A133" s="37" t="n"/>
      <c r="E133" s="36" t="n"/>
    </row>
    <row r="134">
      <c r="A134" s="37" t="n"/>
      <c r="E134" s="36" t="n"/>
    </row>
    <row r="135">
      <c r="A135" s="37" t="n"/>
      <c r="E135" s="36" t="n"/>
    </row>
    <row r="136">
      <c r="A136" s="37" t="n"/>
      <c r="E136" s="36" t="n"/>
    </row>
    <row r="137">
      <c r="A137" s="37" t="n"/>
      <c r="E137" s="36" t="n"/>
    </row>
    <row r="138">
      <c r="A138" s="37" t="n"/>
      <c r="E138" s="36" t="n"/>
    </row>
    <row r="139">
      <c r="A139" s="37" t="n"/>
      <c r="E139" s="36" t="n"/>
    </row>
    <row r="140">
      <c r="A140" s="37" t="n"/>
      <c r="E140" s="36" t="n"/>
    </row>
    <row r="141">
      <c r="A141" s="37" t="n"/>
      <c r="E141" s="36" t="n"/>
    </row>
    <row r="142">
      <c r="A142" s="37" t="n"/>
      <c r="E142" s="36" t="n"/>
    </row>
    <row r="143">
      <c r="A143" s="37" t="n"/>
      <c r="E143" s="36" t="n"/>
    </row>
    <row r="144">
      <c r="A144" s="37" t="n"/>
      <c r="E144" s="36" t="n"/>
    </row>
    <row r="145">
      <c r="A145" s="37" t="n"/>
      <c r="E145" s="36" t="n"/>
    </row>
    <row r="146">
      <c r="A146" s="37" t="n"/>
      <c r="E146" s="36" t="n"/>
    </row>
    <row r="147">
      <c r="A147" s="37" t="n"/>
      <c r="E147" s="36" t="n"/>
    </row>
    <row r="148">
      <c r="A148" s="37" t="n"/>
      <c r="E148" s="36" t="n"/>
    </row>
    <row r="149">
      <c r="A149" s="37" t="n"/>
      <c r="E149" s="36" t="n"/>
    </row>
    <row r="150">
      <c r="A150" s="37" t="n"/>
      <c r="E150" s="36" t="n"/>
    </row>
    <row r="151">
      <c r="A151" s="37" t="n"/>
      <c r="E151" s="36" t="n"/>
    </row>
    <row r="152">
      <c r="A152" s="37" t="n"/>
      <c r="E152" s="36" t="n"/>
    </row>
    <row r="153">
      <c r="A153" s="37" t="n"/>
      <c r="E153" s="36" t="n"/>
    </row>
    <row r="154">
      <c r="A154" s="37" t="n"/>
      <c r="E154" s="36" t="n"/>
    </row>
    <row r="155">
      <c r="A155" s="37" t="n"/>
      <c r="E155" s="36" t="n"/>
    </row>
    <row r="156">
      <c r="A156" s="37" t="n"/>
      <c r="E156" s="36" t="n"/>
    </row>
    <row r="157">
      <c r="A157" s="37" t="n"/>
      <c r="E157" s="36" t="n"/>
    </row>
    <row r="158">
      <c r="A158" s="37" t="n"/>
      <c r="E158" s="36" t="n"/>
    </row>
    <row r="159">
      <c r="A159" s="37" t="n"/>
      <c r="E159" s="36" t="n"/>
    </row>
    <row r="160">
      <c r="A160" s="37" t="n"/>
      <c r="E160" s="36" t="n"/>
    </row>
    <row r="161">
      <c r="A161" s="37" t="n"/>
      <c r="E161" s="36" t="n"/>
    </row>
    <row r="162">
      <c r="A162" s="37" t="n"/>
      <c r="E162" s="36" t="n"/>
    </row>
    <row r="163">
      <c r="A163" s="37" t="n"/>
      <c r="E163" s="36" t="n"/>
    </row>
    <row r="164">
      <c r="A164" s="37" t="n"/>
      <c r="E164" s="36" t="n"/>
    </row>
    <row r="165">
      <c r="A165" s="37" t="n"/>
      <c r="E165" s="36" t="n"/>
    </row>
    <row r="166">
      <c r="A166" s="37" t="n"/>
      <c r="E166" s="36" t="n"/>
    </row>
    <row r="167">
      <c r="A167" s="37" t="n"/>
      <c r="E167" s="36" t="n"/>
    </row>
    <row r="168">
      <c r="A168" s="37" t="n"/>
      <c r="E168" s="36" t="n"/>
    </row>
    <row r="169">
      <c r="A169" s="37" t="n"/>
      <c r="E169" s="36" t="n"/>
    </row>
    <row r="170">
      <c r="A170" s="37" t="n"/>
      <c r="E170" s="36" t="n"/>
    </row>
    <row r="171">
      <c r="A171" s="37" t="n"/>
      <c r="E171" s="36" t="n"/>
    </row>
    <row r="172">
      <c r="A172" s="37" t="n"/>
      <c r="E172" s="36" t="n"/>
    </row>
    <row r="173">
      <c r="A173" s="37" t="n"/>
      <c r="E173" s="36" t="n"/>
    </row>
    <row r="174">
      <c r="A174" s="37" t="n"/>
      <c r="E174" s="36" t="n"/>
    </row>
    <row r="175">
      <c r="A175" s="37" t="n"/>
      <c r="E175" s="36" t="n"/>
    </row>
    <row r="176">
      <c r="A176" s="37" t="n"/>
      <c r="E176" s="36" t="n"/>
    </row>
    <row r="177">
      <c r="A177" s="37" t="n"/>
      <c r="E177" s="36" t="n"/>
    </row>
    <row r="178">
      <c r="A178" s="37" t="n"/>
      <c r="E178" s="36" t="n"/>
    </row>
    <row r="179">
      <c r="A179" s="37" t="n"/>
      <c r="E179" s="36" t="n"/>
    </row>
    <row r="180">
      <c r="A180" s="37" t="n"/>
      <c r="E180" s="36" t="n"/>
    </row>
    <row r="181">
      <c r="A181" s="37" t="n"/>
      <c r="E181" s="36" t="n"/>
    </row>
    <row r="182">
      <c r="A182" s="37" t="n"/>
      <c r="E182" s="36" t="n"/>
    </row>
    <row r="183">
      <c r="A183" s="37" t="n"/>
      <c r="E183" s="36" t="n"/>
    </row>
    <row r="184">
      <c r="A184" s="37" t="n"/>
      <c r="E184" s="36" t="n"/>
    </row>
    <row r="185">
      <c r="A185" s="37" t="n"/>
      <c r="E185" s="36" t="n"/>
    </row>
    <row r="186">
      <c r="A186" s="37" t="n"/>
      <c r="E186" s="36" t="n"/>
    </row>
    <row r="187">
      <c r="A187" s="37" t="n"/>
      <c r="E187" s="36" t="n"/>
    </row>
    <row r="188">
      <c r="A188" s="37" t="n"/>
      <c r="E188" s="36" t="n"/>
    </row>
    <row r="189">
      <c r="A189" s="37" t="n"/>
      <c r="E189" s="36" t="n"/>
    </row>
    <row r="190">
      <c r="A190" s="37" t="n"/>
      <c r="E190" s="36" t="n"/>
    </row>
    <row r="191">
      <c r="A191" s="37" t="n"/>
      <c r="E191" s="36" t="n"/>
    </row>
    <row r="192">
      <c r="A192" s="37" t="n"/>
      <c r="E192" s="36" t="n"/>
    </row>
    <row r="193">
      <c r="A193" s="37" t="n"/>
      <c r="E193" s="36" t="n"/>
    </row>
    <row r="194">
      <c r="A194" s="37" t="n"/>
      <c r="E194" s="36" t="n"/>
    </row>
    <row r="195">
      <c r="A195" s="37" t="n"/>
      <c r="E195" s="36" t="n"/>
    </row>
    <row r="196">
      <c r="A196" s="37" t="n"/>
      <c r="E196" s="36" t="n"/>
    </row>
    <row r="197">
      <c r="A197" s="37" t="n"/>
      <c r="E197" s="36" t="n"/>
    </row>
    <row r="198">
      <c r="A198" s="37" t="n"/>
      <c r="E198" s="36" t="n"/>
    </row>
    <row r="199">
      <c r="A199" s="37" t="n"/>
      <c r="E199" s="36" t="n"/>
    </row>
    <row r="200">
      <c r="A200" s="37" t="n"/>
      <c r="E200" s="36" t="n"/>
    </row>
    <row r="201">
      <c r="A201" s="37" t="n"/>
      <c r="E201" s="36" t="n"/>
    </row>
    <row r="202">
      <c r="A202" s="37" t="n"/>
      <c r="E202" s="36" t="n"/>
    </row>
    <row r="203">
      <c r="A203" s="37" t="n"/>
      <c r="E203" s="36" t="n"/>
    </row>
    <row r="204">
      <c r="A204" s="37" t="n"/>
      <c r="E204" s="36" t="n"/>
    </row>
    <row r="205">
      <c r="A205" s="37" t="n"/>
      <c r="E205" s="36" t="n"/>
    </row>
    <row r="206">
      <c r="A206" s="37" t="n"/>
      <c r="E206" s="36" t="n"/>
    </row>
    <row r="207">
      <c r="A207" s="37" t="n"/>
      <c r="E207" s="36" t="n"/>
    </row>
    <row r="208">
      <c r="A208" s="37" t="n"/>
      <c r="E208" s="36" t="n"/>
    </row>
    <row r="209">
      <c r="A209" s="37" t="n"/>
      <c r="E209" s="36" t="n"/>
    </row>
    <row r="210">
      <c r="A210" s="37" t="n"/>
      <c r="E210" s="36" t="n"/>
    </row>
    <row r="211">
      <c r="A211" s="37" t="n"/>
      <c r="E211" s="36" t="n"/>
    </row>
    <row r="212">
      <c r="A212" s="37" t="n"/>
      <c r="E212" s="36" t="n"/>
    </row>
    <row r="213">
      <c r="A213" s="37" t="n"/>
      <c r="E213" s="36" t="n"/>
    </row>
    <row r="214">
      <c r="A214" s="37" t="n"/>
      <c r="E214" s="36" t="n"/>
    </row>
    <row r="215">
      <c r="A215" s="37" t="n"/>
      <c r="E215" s="36" t="n"/>
    </row>
    <row r="216">
      <c r="A216" s="37" t="n"/>
      <c r="E216" s="36" t="n"/>
    </row>
    <row r="217">
      <c r="A217" s="37" t="n"/>
      <c r="E217" s="36" t="n"/>
    </row>
    <row r="218">
      <c r="A218" s="37" t="n"/>
      <c r="E218" s="36" t="n"/>
    </row>
    <row r="219">
      <c r="A219" s="37" t="n"/>
      <c r="E219" s="36" t="n"/>
    </row>
    <row r="220">
      <c r="A220" s="37" t="n"/>
      <c r="E220" s="36" t="n"/>
    </row>
    <row r="221">
      <c r="A221" s="37" t="n"/>
      <c r="E221" s="36" t="n"/>
    </row>
    <row r="222">
      <c r="A222" s="37" t="n"/>
      <c r="E222" s="36" t="n"/>
    </row>
    <row r="223">
      <c r="A223" s="37" t="n"/>
      <c r="E223" s="36" t="n"/>
    </row>
    <row r="224">
      <c r="A224" s="37" t="n"/>
      <c r="E224" s="36" t="n"/>
    </row>
    <row r="225">
      <c r="A225" s="37" t="n"/>
      <c r="E225" s="36" t="n"/>
    </row>
    <row r="226">
      <c r="A226" s="37" t="n"/>
      <c r="E226" s="36" t="n"/>
    </row>
    <row r="227">
      <c r="A227" s="37" t="n"/>
      <c r="E227" s="36" t="n"/>
    </row>
    <row r="228">
      <c r="A228" s="37" t="n"/>
      <c r="E228" s="36" t="n"/>
    </row>
    <row r="229">
      <c r="A229" s="37" t="n"/>
      <c r="E229" s="36" t="n"/>
    </row>
    <row r="230">
      <c r="A230" s="37" t="n"/>
      <c r="E230" s="36" t="n"/>
    </row>
    <row r="231">
      <c r="A231" s="37" t="n"/>
      <c r="E231" s="36" t="n"/>
    </row>
    <row r="232">
      <c r="A232" s="37" t="n"/>
      <c r="E232" s="36" t="n"/>
    </row>
    <row r="233">
      <c r="A233" s="37" t="n"/>
      <c r="E233" s="36" t="n"/>
    </row>
    <row r="234">
      <c r="A234" s="37" t="n"/>
      <c r="E234" s="36" t="n"/>
    </row>
    <row r="235">
      <c r="A235" s="37" t="n"/>
      <c r="E235" s="36" t="n"/>
    </row>
    <row r="236">
      <c r="A236" s="37" t="n"/>
      <c r="E236" s="36" t="n"/>
    </row>
    <row r="237">
      <c r="A237" s="37" t="n"/>
      <c r="E237" s="36" t="n"/>
    </row>
    <row r="238">
      <c r="A238" s="37" t="n"/>
      <c r="E238" s="36" t="n"/>
    </row>
    <row r="239">
      <c r="A239" s="37" t="n"/>
      <c r="E239" s="36" t="n"/>
    </row>
    <row r="240">
      <c r="A240" s="37" t="n"/>
      <c r="E240" s="36" t="n"/>
    </row>
    <row r="241">
      <c r="A241" s="37" t="n"/>
      <c r="E241" s="36" t="n"/>
    </row>
    <row r="242">
      <c r="A242" s="37" t="n"/>
      <c r="E242" s="36" t="n"/>
    </row>
    <row r="243">
      <c r="A243" s="37" t="n"/>
      <c r="E243" s="36" t="n"/>
    </row>
    <row r="244">
      <c r="A244" s="37" t="n"/>
      <c r="E244" s="36" t="n"/>
    </row>
    <row r="245">
      <c r="A245" s="37" t="n"/>
      <c r="E245" s="36" t="n"/>
    </row>
    <row r="246">
      <c r="A246" s="37" t="n"/>
      <c r="E246" s="36" t="n"/>
    </row>
    <row r="247">
      <c r="A247" s="37" t="n"/>
      <c r="E247" s="36" t="n"/>
    </row>
    <row r="248">
      <c r="A248" s="37" t="n"/>
      <c r="E248" s="36" t="n"/>
    </row>
    <row r="249">
      <c r="A249" s="37" t="n"/>
      <c r="E249" s="36" t="n"/>
    </row>
    <row r="250">
      <c r="A250" s="37" t="n"/>
      <c r="E250" s="36" t="n"/>
    </row>
    <row r="251">
      <c r="A251" s="37" t="n"/>
      <c r="E251" s="36" t="n"/>
    </row>
    <row r="252">
      <c r="A252" s="37" t="n"/>
      <c r="E252" s="36" t="n"/>
    </row>
    <row r="253">
      <c r="A253" s="37" t="n"/>
      <c r="E253" s="36" t="n"/>
    </row>
    <row r="254">
      <c r="A254" s="37" t="n"/>
      <c r="E254" s="36" t="n"/>
    </row>
    <row r="255">
      <c r="A255" s="37" t="n"/>
      <c r="E255" s="36" t="n"/>
    </row>
    <row r="256">
      <c r="A256" s="37" t="n"/>
      <c r="E256" s="36" t="n"/>
    </row>
    <row r="257">
      <c r="A257" s="37" t="n"/>
      <c r="E257" s="36" t="n"/>
    </row>
    <row r="258">
      <c r="A258" s="37" t="n"/>
      <c r="E258" s="36" t="n"/>
    </row>
    <row r="259">
      <c r="A259" s="37" t="n"/>
      <c r="E259" s="36" t="n"/>
    </row>
    <row r="260">
      <c r="A260" s="37" t="n"/>
      <c r="E260" s="36" t="n"/>
    </row>
    <row r="261">
      <c r="A261" s="37" t="n"/>
      <c r="E261" s="36" t="n"/>
    </row>
    <row r="262">
      <c r="A262" s="37" t="n"/>
      <c r="E262" s="36" t="n"/>
    </row>
    <row r="263">
      <c r="A263" s="37" t="n"/>
      <c r="E263" s="36" t="n"/>
    </row>
    <row r="264">
      <c r="A264" s="37" t="n"/>
      <c r="E264" s="36" t="n"/>
    </row>
    <row r="265">
      <c r="A265" s="37" t="n"/>
      <c r="E265" s="36" t="n"/>
    </row>
    <row r="266">
      <c r="A266" s="37" t="n"/>
      <c r="E266" s="36" t="n"/>
    </row>
    <row r="267">
      <c r="A267" s="37" t="n"/>
      <c r="E267" s="36" t="n"/>
    </row>
    <row r="268">
      <c r="A268" s="37" t="n"/>
      <c r="E268" s="36" t="n"/>
    </row>
    <row r="269">
      <c r="A269" s="37" t="n"/>
      <c r="E269" s="36" t="n"/>
    </row>
    <row r="270">
      <c r="A270" s="37" t="n"/>
      <c r="E270" s="36" t="n"/>
    </row>
    <row r="271">
      <c r="A271" s="37" t="n"/>
      <c r="E271" s="36" t="n"/>
    </row>
    <row r="272">
      <c r="A272" s="37" t="n"/>
      <c r="E272" s="36" t="n"/>
    </row>
    <row r="273">
      <c r="A273" s="37" t="n"/>
      <c r="E273" s="36" t="n"/>
    </row>
    <row r="274">
      <c r="A274" s="37" t="n"/>
      <c r="E274" s="36" t="n"/>
    </row>
    <row r="275">
      <c r="A275" s="37" t="n"/>
      <c r="E275" s="36" t="n"/>
    </row>
    <row r="276">
      <c r="A276" s="37" t="n"/>
      <c r="E276" s="36" t="n"/>
    </row>
    <row r="277">
      <c r="A277" s="37" t="n"/>
      <c r="E277" s="36" t="n"/>
    </row>
    <row r="278">
      <c r="A278" s="37" t="n"/>
      <c r="E278" s="36" t="n"/>
    </row>
    <row r="279">
      <c r="A279" s="37" t="n"/>
      <c r="E279" s="36" t="n"/>
    </row>
    <row r="280">
      <c r="A280" s="37" t="n"/>
      <c r="E280" s="36" t="n"/>
    </row>
    <row r="281">
      <c r="A281" s="37" t="n"/>
      <c r="E281" s="36" t="n"/>
    </row>
    <row r="282">
      <c r="A282" s="37" t="n"/>
      <c r="E282" s="36" t="n"/>
    </row>
    <row r="283">
      <c r="A283" s="37" t="n"/>
      <c r="E283" s="36" t="n"/>
    </row>
    <row r="284">
      <c r="A284" s="37" t="n"/>
      <c r="E284" s="36" t="n"/>
    </row>
    <row r="285">
      <c r="A285" s="37" t="n"/>
      <c r="E285" s="36" t="n"/>
    </row>
    <row r="286">
      <c r="A286" s="37" t="n"/>
      <c r="E286" s="36" t="n"/>
    </row>
    <row r="287">
      <c r="A287" s="37" t="n"/>
      <c r="E287" s="36" t="n"/>
    </row>
    <row r="288">
      <c r="A288" s="37" t="n"/>
      <c r="E288" s="36" t="n"/>
    </row>
    <row r="289">
      <c r="A289" s="37" t="n"/>
      <c r="E289" s="36" t="n"/>
    </row>
    <row r="290">
      <c r="A290" s="37" t="n"/>
      <c r="E290" s="36" t="n"/>
    </row>
    <row r="291">
      <c r="A291" s="37" t="n"/>
      <c r="E291" s="36" t="n"/>
    </row>
    <row r="292">
      <c r="A292" s="37" t="n"/>
      <c r="E292" s="36" t="n"/>
    </row>
    <row r="293">
      <c r="A293" s="37" t="n"/>
      <c r="E293" s="36" t="n"/>
    </row>
    <row r="294">
      <c r="A294" s="37" t="n"/>
      <c r="E294" s="36" t="n"/>
    </row>
    <row r="295">
      <c r="A295" s="37" t="n"/>
      <c r="E295" s="36" t="n"/>
    </row>
    <row r="296">
      <c r="A296" s="37" t="n"/>
      <c r="E296" s="36" t="n"/>
    </row>
    <row r="297">
      <c r="A297" s="37" t="n"/>
      <c r="E297" s="36" t="n"/>
    </row>
    <row r="298">
      <c r="A298" s="37" t="n"/>
      <c r="E298" s="36" t="n"/>
    </row>
    <row r="299">
      <c r="A299" s="37" t="n"/>
      <c r="E299" s="36" t="n"/>
    </row>
    <row r="300">
      <c r="A300" s="37" t="n"/>
      <c r="E300" s="36" t="n"/>
    </row>
    <row r="301">
      <c r="A301" s="37" t="n"/>
      <c r="E301" s="36" t="n"/>
    </row>
    <row r="302">
      <c r="A302" s="37" t="n"/>
      <c r="E302" s="36" t="n"/>
    </row>
    <row r="303">
      <c r="A303" s="37" t="n"/>
      <c r="E303" s="36" t="n"/>
    </row>
    <row r="304">
      <c r="A304" s="37" t="n"/>
      <c r="E304" s="36" t="n"/>
    </row>
    <row r="305">
      <c r="A305" s="37" t="n"/>
      <c r="E305" s="36" t="n"/>
    </row>
    <row r="306">
      <c r="A306" s="37" t="n"/>
      <c r="E306" s="36" t="n"/>
    </row>
    <row r="307">
      <c r="A307" s="37" t="n"/>
      <c r="E307" s="36" t="n"/>
    </row>
    <row r="308">
      <c r="A308" s="37" t="n"/>
      <c r="E308" s="36" t="n"/>
    </row>
    <row r="309">
      <c r="A309" s="37" t="n"/>
      <c r="E309" s="36" t="n"/>
    </row>
    <row r="310">
      <c r="A310" s="37" t="n"/>
      <c r="E310" s="36" t="n"/>
    </row>
    <row r="311">
      <c r="A311" s="37" t="n"/>
      <c r="E311" s="36" t="n"/>
    </row>
    <row r="312">
      <c r="A312" s="37" t="n"/>
      <c r="E312" s="36" t="n"/>
    </row>
    <row r="313">
      <c r="A313" s="37" t="n"/>
      <c r="E313" s="36" t="n"/>
    </row>
    <row r="314">
      <c r="A314" s="37" t="n"/>
      <c r="E314" s="36" t="n"/>
    </row>
    <row r="315">
      <c r="A315" s="37" t="n"/>
      <c r="E315" s="36" t="n"/>
    </row>
    <row r="316">
      <c r="A316" s="37" t="n"/>
      <c r="E316" s="36" t="n"/>
    </row>
    <row r="317">
      <c r="A317" s="37" t="n"/>
      <c r="E317" s="36" t="n"/>
    </row>
    <row r="318">
      <c r="A318" s="37" t="n"/>
      <c r="E318" s="36" t="n"/>
    </row>
    <row r="319">
      <c r="A319" s="37" t="n"/>
      <c r="E319" s="36" t="n"/>
    </row>
    <row r="320">
      <c r="A320" s="37" t="n"/>
      <c r="E320" s="36" t="n"/>
    </row>
    <row r="321">
      <c r="A321" s="37" t="n"/>
      <c r="E321" s="36" t="n"/>
    </row>
    <row r="322">
      <c r="A322" s="37" t="n"/>
      <c r="E322" s="36" t="n"/>
    </row>
    <row r="323">
      <c r="A323" s="37" t="n"/>
      <c r="E323" s="36" t="n"/>
    </row>
    <row r="324">
      <c r="A324" s="37" t="n"/>
      <c r="E324" s="36" t="n"/>
    </row>
    <row r="325">
      <c r="A325" s="37" t="n"/>
      <c r="E325" s="36" t="n"/>
    </row>
    <row r="326">
      <c r="A326" s="37" t="n"/>
      <c r="E326" s="36" t="n"/>
    </row>
    <row r="327">
      <c r="A327" s="37" t="n"/>
      <c r="E327" s="36" t="n"/>
    </row>
    <row r="328">
      <c r="A328" s="37" t="n"/>
      <c r="E328" s="36" t="n"/>
    </row>
    <row r="329">
      <c r="A329" s="37" t="n"/>
      <c r="E329" s="36" t="n"/>
    </row>
    <row r="330">
      <c r="A330" s="37" t="n"/>
      <c r="E330" s="36" t="n"/>
    </row>
    <row r="331">
      <c r="A331" s="37" t="n"/>
      <c r="E331" s="36" t="n"/>
    </row>
    <row r="332">
      <c r="A332" s="37" t="n"/>
      <c r="E332" s="36" t="n"/>
    </row>
    <row r="333">
      <c r="A333" s="37" t="n"/>
      <c r="E333" s="36" t="n"/>
    </row>
    <row r="334">
      <c r="A334" s="37" t="n"/>
      <c r="E334" s="36" t="n"/>
    </row>
    <row r="335">
      <c r="A335" s="37" t="n"/>
      <c r="E335" s="36" t="n"/>
    </row>
    <row r="336">
      <c r="A336" s="37" t="n"/>
      <c r="E336" s="36" t="n"/>
    </row>
    <row r="337">
      <c r="A337" s="37" t="n"/>
      <c r="E337" s="36" t="n"/>
    </row>
    <row r="338">
      <c r="A338" s="37" t="n"/>
      <c r="E338" s="36" t="n"/>
    </row>
    <row r="339">
      <c r="A339" s="37" t="n"/>
      <c r="E339" s="36" t="n"/>
    </row>
    <row r="340">
      <c r="A340" s="37" t="n"/>
      <c r="E340" s="36" t="n"/>
    </row>
    <row r="341">
      <c r="A341" s="37" t="n"/>
      <c r="E341" s="36" t="n"/>
    </row>
    <row r="342">
      <c r="A342" s="37" t="n"/>
      <c r="E342" s="36" t="n"/>
    </row>
    <row r="343">
      <c r="A343" s="37" t="n"/>
      <c r="E343" s="36" t="n"/>
    </row>
    <row r="344">
      <c r="A344" s="37" t="n"/>
      <c r="E344" s="36" t="n"/>
    </row>
    <row r="345">
      <c r="A345" s="37" t="n"/>
      <c r="E345" s="36" t="n"/>
    </row>
    <row r="346">
      <c r="A346" s="37" t="n"/>
      <c r="E346" s="36" t="n"/>
    </row>
    <row r="347">
      <c r="A347" s="37" t="n"/>
      <c r="E347" s="36" t="n"/>
    </row>
    <row r="348">
      <c r="A348" s="37" t="n"/>
      <c r="E348" s="36" t="n"/>
    </row>
    <row r="349">
      <c r="A349" s="37" t="n"/>
      <c r="E349" s="36" t="n"/>
    </row>
    <row r="350">
      <c r="A350" s="37" t="n"/>
      <c r="E350" s="36" t="n"/>
    </row>
    <row r="351">
      <c r="A351" s="37" t="n"/>
      <c r="E351" s="36" t="n"/>
    </row>
    <row r="352">
      <c r="A352" s="37" t="n"/>
      <c r="E352" s="36" t="n"/>
    </row>
    <row r="353">
      <c r="A353" s="37" t="n"/>
      <c r="E353" s="36" t="n"/>
    </row>
    <row r="354">
      <c r="A354" s="37" t="n"/>
      <c r="E354" s="36" t="n"/>
    </row>
    <row r="355">
      <c r="A355" s="37" t="n"/>
      <c r="E355" s="36" t="n"/>
    </row>
    <row r="356">
      <c r="A356" s="37" t="n"/>
      <c r="E356" s="36" t="n"/>
    </row>
    <row r="357">
      <c r="A357" s="37" t="n"/>
      <c r="E357" s="36" t="n"/>
    </row>
    <row r="358">
      <c r="A358" s="37" t="n"/>
      <c r="E358" s="36" t="n"/>
    </row>
    <row r="359">
      <c r="A359" s="37" t="n"/>
      <c r="E359" s="36" t="n"/>
    </row>
    <row r="360">
      <c r="A360" s="37" t="n"/>
      <c r="E360" s="36" t="n"/>
    </row>
    <row r="361">
      <c r="A361" s="37" t="n"/>
      <c r="E361" s="36" t="n"/>
    </row>
    <row r="362">
      <c r="A362" s="37" t="n"/>
      <c r="E362" s="36" t="n"/>
    </row>
    <row r="363">
      <c r="A363" s="37" t="n"/>
      <c r="E363" s="36" t="n"/>
    </row>
    <row r="364">
      <c r="A364" s="37" t="n"/>
      <c r="E364" s="36" t="n"/>
    </row>
    <row r="365">
      <c r="A365" s="37" t="n"/>
      <c r="E365" s="36" t="n"/>
    </row>
    <row r="366">
      <c r="A366" s="37" t="n"/>
      <c r="E366" s="36" t="n"/>
    </row>
    <row r="367">
      <c r="A367" s="37" t="n"/>
      <c r="E367" s="36" t="n"/>
    </row>
    <row r="368">
      <c r="A368" s="37" t="n"/>
      <c r="E368" s="36" t="n"/>
    </row>
    <row r="369">
      <c r="A369" s="37" t="n"/>
      <c r="E369" s="36" t="n"/>
    </row>
    <row r="370">
      <c r="A370" s="37" t="n"/>
      <c r="E370" s="36" t="n"/>
    </row>
    <row r="371">
      <c r="A371" s="37" t="n"/>
      <c r="E371" s="36" t="n"/>
    </row>
    <row r="372">
      <c r="A372" s="37" t="n"/>
      <c r="E372" s="36" t="n"/>
    </row>
    <row r="373">
      <c r="A373" s="37" t="n"/>
      <c r="E373" s="36" t="n"/>
    </row>
    <row r="374">
      <c r="A374" s="37" t="n"/>
      <c r="E374" s="36" t="n"/>
    </row>
    <row r="375">
      <c r="A375" s="37" t="n"/>
      <c r="E375" s="36" t="n"/>
    </row>
    <row r="376">
      <c r="A376" s="37" t="n"/>
      <c r="E376" s="36" t="n"/>
    </row>
    <row r="377">
      <c r="A377" s="37" t="n"/>
      <c r="E377" s="36" t="n"/>
    </row>
    <row r="378">
      <c r="A378" s="37" t="n"/>
      <c r="E378" s="36" t="n"/>
    </row>
    <row r="379">
      <c r="A379" s="37" t="n"/>
      <c r="E379" s="36" t="n"/>
    </row>
    <row r="380">
      <c r="A380" s="37" t="n"/>
      <c r="E380" s="36" t="n"/>
    </row>
    <row r="381">
      <c r="A381" s="37" t="n"/>
      <c r="E381" s="36" t="n"/>
    </row>
    <row r="382">
      <c r="A382" s="37" t="n"/>
      <c r="E382" s="36" t="n"/>
    </row>
    <row r="383">
      <c r="A383" s="37" t="n"/>
      <c r="E383" s="36" t="n"/>
    </row>
    <row r="384">
      <c r="A384" s="37" t="n"/>
      <c r="E384" s="36" t="n"/>
    </row>
    <row r="385">
      <c r="A385" s="37" t="n"/>
      <c r="E385" s="36" t="n"/>
    </row>
    <row r="386">
      <c r="A386" s="37" t="n"/>
      <c r="E386" s="36" t="n"/>
    </row>
    <row r="387">
      <c r="A387" s="37" t="n"/>
      <c r="E387" s="36" t="n"/>
    </row>
    <row r="388">
      <c r="A388" s="37" t="n"/>
      <c r="E388" s="36" t="n"/>
    </row>
    <row r="389">
      <c r="A389" s="37" t="n"/>
      <c r="E389" s="36" t="n"/>
    </row>
    <row r="390">
      <c r="A390" s="37" t="n"/>
      <c r="E390" s="36" t="n"/>
    </row>
    <row r="391">
      <c r="A391" s="37" t="n"/>
      <c r="E391" s="36" t="n"/>
    </row>
    <row r="392">
      <c r="A392" s="37" t="n"/>
      <c r="E392" s="36" t="n"/>
    </row>
    <row r="393">
      <c r="A393" s="37" t="n"/>
      <c r="E393" s="36" t="n"/>
    </row>
    <row r="394">
      <c r="A394" s="37" t="n"/>
      <c r="E394" s="36" t="n"/>
    </row>
    <row r="395">
      <c r="A395" s="37" t="n"/>
      <c r="E395" s="36" t="n"/>
    </row>
    <row r="396">
      <c r="A396" s="37" t="n"/>
      <c r="E396" s="36" t="n"/>
    </row>
    <row r="397">
      <c r="A397" s="37" t="n"/>
      <c r="E397" s="36" t="n"/>
    </row>
    <row r="398">
      <c r="A398" s="37" t="n"/>
      <c r="E398" s="36" t="n"/>
    </row>
    <row r="399">
      <c r="A399" s="37" t="n"/>
      <c r="E399" s="36" t="n"/>
    </row>
    <row r="400">
      <c r="A400" s="37" t="n"/>
      <c r="E400" s="36" t="n"/>
    </row>
    <row r="401">
      <c r="A401" s="37" t="n"/>
      <c r="E401" s="36" t="n"/>
    </row>
    <row r="402">
      <c r="A402" s="37" t="n"/>
      <c r="E402" s="36" t="n"/>
    </row>
    <row r="403">
      <c r="A403" s="37" t="n"/>
      <c r="E403" s="36" t="n"/>
    </row>
    <row r="404">
      <c r="A404" s="37" t="n"/>
      <c r="E404" s="36" t="n"/>
    </row>
    <row r="405">
      <c r="A405" s="37" t="n"/>
      <c r="E405" s="36" t="n"/>
    </row>
    <row r="406">
      <c r="A406" s="37" t="n"/>
      <c r="E406" s="36" t="n"/>
    </row>
    <row r="407">
      <c r="A407" s="37" t="n"/>
      <c r="E407" s="36" t="n"/>
    </row>
    <row r="408">
      <c r="A408" s="37" t="n"/>
      <c r="E408" s="36" t="n"/>
    </row>
    <row r="409">
      <c r="A409" s="37" t="n"/>
      <c r="E409" s="36" t="n"/>
    </row>
    <row r="410">
      <c r="A410" s="37" t="n"/>
      <c r="E410" s="36" t="n"/>
    </row>
    <row r="411">
      <c r="A411" s="37" t="n"/>
      <c r="E411" s="36" t="n"/>
    </row>
    <row r="412">
      <c r="A412" s="37" t="n"/>
      <c r="E412" s="36" t="n"/>
    </row>
    <row r="413">
      <c r="A413" s="37" t="n"/>
      <c r="E413" s="36" t="n"/>
    </row>
    <row r="414">
      <c r="A414" s="37" t="n"/>
      <c r="E414" s="36" t="n"/>
    </row>
    <row r="415">
      <c r="A415" s="37" t="n"/>
      <c r="E415" s="36" t="n"/>
    </row>
    <row r="416">
      <c r="A416" s="37" t="n"/>
      <c r="E416" s="36" t="n"/>
    </row>
    <row r="417">
      <c r="A417" s="37" t="n"/>
      <c r="E417" s="36" t="n"/>
    </row>
    <row r="418">
      <c r="A418" s="37" t="n"/>
      <c r="E418" s="36" t="n"/>
    </row>
    <row r="419">
      <c r="A419" s="37" t="n"/>
      <c r="E419" s="36" t="n"/>
    </row>
    <row r="420">
      <c r="A420" s="37" t="n"/>
      <c r="E420" s="36" t="n"/>
    </row>
    <row r="421">
      <c r="A421" s="37" t="n"/>
      <c r="E421" s="36" t="n"/>
    </row>
    <row r="422">
      <c r="A422" s="37" t="n"/>
      <c r="E422" s="36" t="n"/>
    </row>
    <row r="423">
      <c r="A423" s="37" t="n"/>
      <c r="E423" s="36" t="n"/>
    </row>
    <row r="424">
      <c r="A424" s="37" t="n"/>
      <c r="E424" s="36" t="n"/>
    </row>
    <row r="425">
      <c r="A425" s="37" t="n"/>
      <c r="E425" s="36" t="n"/>
    </row>
    <row r="426">
      <c r="A426" s="37" t="n"/>
      <c r="E426" s="36" t="n"/>
    </row>
    <row r="427">
      <c r="A427" s="37" t="n"/>
      <c r="E427" s="36" t="n"/>
    </row>
    <row r="428">
      <c r="A428" s="37" t="n"/>
      <c r="E428" s="36" t="n"/>
    </row>
    <row r="429">
      <c r="A429" s="37" t="n"/>
      <c r="E429" s="36" t="n"/>
    </row>
    <row r="430">
      <c r="A430" s="37" t="n"/>
      <c r="E430" s="36" t="n"/>
    </row>
    <row r="431">
      <c r="A431" s="37" t="n"/>
      <c r="E431" s="36" t="n"/>
    </row>
    <row r="432">
      <c r="A432" s="37" t="n"/>
      <c r="E432" s="36" t="n"/>
    </row>
    <row r="433">
      <c r="A433" s="37" t="n"/>
      <c r="E433" s="36" t="n"/>
    </row>
    <row r="434">
      <c r="A434" s="37" t="n"/>
      <c r="E434" s="36" t="n"/>
    </row>
    <row r="435">
      <c r="A435" s="37" t="n"/>
      <c r="E435" s="36" t="n"/>
    </row>
    <row r="436">
      <c r="A436" s="37" t="n"/>
      <c r="E436" s="36" t="n"/>
    </row>
    <row r="437">
      <c r="A437" s="37" t="n"/>
      <c r="E437" s="36" t="n"/>
    </row>
    <row r="438">
      <c r="A438" s="37" t="n"/>
      <c r="E438" s="36" t="n"/>
    </row>
    <row r="439">
      <c r="A439" s="37" t="n"/>
      <c r="E439" s="36" t="n"/>
    </row>
    <row r="440">
      <c r="A440" s="37" t="n"/>
      <c r="E440" s="36" t="n"/>
    </row>
    <row r="441">
      <c r="A441" s="37" t="n"/>
      <c r="E441" s="36" t="n"/>
    </row>
    <row r="442">
      <c r="A442" s="37" t="n"/>
      <c r="E442" s="36" t="n"/>
    </row>
    <row r="443">
      <c r="A443" s="37" t="n"/>
      <c r="E443" s="36" t="n"/>
    </row>
    <row r="444">
      <c r="A444" s="37" t="n"/>
      <c r="E444" s="36" t="n"/>
    </row>
    <row r="445">
      <c r="A445" s="37" t="n"/>
      <c r="E445" s="36" t="n"/>
    </row>
    <row r="446">
      <c r="A446" s="37" t="n"/>
      <c r="E446" s="36" t="n"/>
    </row>
    <row r="447">
      <c r="A447" s="37" t="n"/>
      <c r="E447" s="36" t="n"/>
    </row>
    <row r="448">
      <c r="A448" s="37" t="n"/>
      <c r="E448" s="36" t="n"/>
    </row>
    <row r="449">
      <c r="A449" s="37" t="n"/>
      <c r="E449" s="36" t="n"/>
    </row>
    <row r="450">
      <c r="A450" s="37" t="n"/>
      <c r="E450" s="36" t="n"/>
    </row>
    <row r="451">
      <c r="A451" s="37" t="n"/>
      <c r="E451" s="36" t="n"/>
    </row>
    <row r="452">
      <c r="A452" s="37" t="n"/>
      <c r="E452" s="36" t="n"/>
    </row>
    <row r="453">
      <c r="A453" s="37" t="n"/>
      <c r="E453" s="36" t="n"/>
    </row>
    <row r="454">
      <c r="A454" s="37" t="n"/>
      <c r="E454" s="36" t="n"/>
    </row>
    <row r="455">
      <c r="A455" s="37" t="n"/>
      <c r="E455" s="36" t="n"/>
    </row>
    <row r="456">
      <c r="A456" s="37" t="n"/>
      <c r="E456" s="36" t="n"/>
    </row>
    <row r="457">
      <c r="A457" s="37" t="n"/>
      <c r="E457" s="36" t="n"/>
    </row>
    <row r="458">
      <c r="A458" s="37" t="n"/>
      <c r="E458" s="36" t="n"/>
    </row>
    <row r="459">
      <c r="A459" s="37" t="n"/>
      <c r="E459" s="36" t="n"/>
    </row>
    <row r="460">
      <c r="A460" s="37" t="n"/>
      <c r="E460" s="36" t="n"/>
    </row>
    <row r="461">
      <c r="A461" s="37" t="n"/>
      <c r="E461" s="36" t="n"/>
    </row>
    <row r="462">
      <c r="A462" s="37" t="n"/>
      <c r="E462" s="36" t="n"/>
    </row>
    <row r="463">
      <c r="A463" s="37" t="n"/>
      <c r="E463" s="36" t="n"/>
    </row>
    <row r="464">
      <c r="A464" s="37" t="n"/>
      <c r="E464" s="36" t="n"/>
    </row>
    <row r="465">
      <c r="A465" s="37" t="n"/>
      <c r="E465" s="36" t="n"/>
    </row>
    <row r="466">
      <c r="A466" s="37" t="n"/>
      <c r="E466" s="36" t="n"/>
    </row>
    <row r="467">
      <c r="A467" s="37" t="n"/>
      <c r="E467" s="36" t="n"/>
    </row>
    <row r="468">
      <c r="A468" s="37" t="n"/>
      <c r="E468" s="36" t="n"/>
    </row>
    <row r="469">
      <c r="A469" s="37" t="n"/>
      <c r="E469" s="36" t="n"/>
    </row>
    <row r="470">
      <c r="A470" s="37" t="n"/>
      <c r="E470" s="36" t="n"/>
    </row>
    <row r="471">
      <c r="A471" s="37" t="n"/>
      <c r="E471" s="36" t="n"/>
    </row>
    <row r="472">
      <c r="A472" s="37" t="n"/>
      <c r="E472" s="36" t="n"/>
    </row>
    <row r="473">
      <c r="A473" s="37" t="n"/>
      <c r="E473" s="36" t="n"/>
    </row>
    <row r="474">
      <c r="A474" s="37" t="n"/>
      <c r="E474" s="36" t="n"/>
    </row>
    <row r="475">
      <c r="A475" s="37" t="n"/>
      <c r="E475" s="36" t="n"/>
    </row>
    <row r="476">
      <c r="A476" s="37" t="n"/>
      <c r="E476" s="36" t="n"/>
    </row>
    <row r="477">
      <c r="A477" s="37" t="n"/>
      <c r="E477" s="36" t="n"/>
    </row>
    <row r="478">
      <c r="A478" s="37" t="n"/>
      <c r="E478" s="36" t="n"/>
    </row>
    <row r="479">
      <c r="A479" s="37" t="n"/>
      <c r="E479" s="36" t="n"/>
    </row>
    <row r="480">
      <c r="A480" s="37" t="n"/>
      <c r="E480" s="36" t="n"/>
    </row>
    <row r="481">
      <c r="A481" s="37" t="n"/>
      <c r="E481" s="36" t="n"/>
    </row>
    <row r="482">
      <c r="A482" s="37" t="n"/>
      <c r="E482" s="36" t="n"/>
    </row>
    <row r="483">
      <c r="A483" s="37" t="n"/>
      <c r="E483" s="36" t="n"/>
    </row>
    <row r="484">
      <c r="A484" s="37" t="n"/>
      <c r="E484" s="36" t="n"/>
    </row>
    <row r="485">
      <c r="A485" s="37" t="n"/>
      <c r="E485" s="36" t="n"/>
    </row>
    <row r="486">
      <c r="A486" s="37" t="n"/>
      <c r="E486" s="36" t="n"/>
    </row>
    <row r="487">
      <c r="A487" s="37" t="n"/>
      <c r="E487" s="36" t="n"/>
    </row>
    <row r="488">
      <c r="A488" s="37" t="n"/>
      <c r="E488" s="36" t="n"/>
    </row>
    <row r="489">
      <c r="A489" s="37" t="n"/>
      <c r="E489" s="36" t="n"/>
    </row>
    <row r="490">
      <c r="A490" s="37" t="n"/>
      <c r="E490" s="36" t="n"/>
    </row>
    <row r="491">
      <c r="A491" s="37" t="n"/>
      <c r="E491" s="36" t="n"/>
    </row>
    <row r="492">
      <c r="A492" s="37" t="n"/>
      <c r="E492" s="36" t="n"/>
    </row>
    <row r="493">
      <c r="A493" s="37" t="n"/>
      <c r="E493" s="36" t="n"/>
    </row>
    <row r="494">
      <c r="A494" s="37" t="n"/>
      <c r="E494" s="36" t="n"/>
    </row>
    <row r="495">
      <c r="A495" s="37" t="n"/>
      <c r="E495" s="36" t="n"/>
    </row>
    <row r="496">
      <c r="A496" s="37" t="n"/>
      <c r="E496" s="36" t="n"/>
    </row>
    <row r="497">
      <c r="A497" s="37" t="n"/>
      <c r="E497" s="36" t="n"/>
    </row>
    <row r="498">
      <c r="A498" s="37" t="n"/>
      <c r="E498" s="36" t="n"/>
    </row>
    <row r="499">
      <c r="A499" s="37" t="n"/>
      <c r="E499" s="36" t="n"/>
    </row>
    <row r="500">
      <c r="A500" s="37" t="n"/>
      <c r="E500" s="36" t="n"/>
    </row>
    <row r="501">
      <c r="A501" s="37" t="n"/>
      <c r="E501" s="36" t="n"/>
    </row>
    <row r="502">
      <c r="A502" s="37" t="n"/>
      <c r="E502" s="36" t="n"/>
    </row>
    <row r="503">
      <c r="A503" s="37" t="n"/>
      <c r="E503" s="36" t="n"/>
    </row>
    <row r="504">
      <c r="A504" s="37" t="n"/>
      <c r="E504" s="36" t="n"/>
    </row>
    <row r="505">
      <c r="A505" s="37" t="n"/>
      <c r="E505" s="36" t="n"/>
    </row>
    <row r="506">
      <c r="A506" s="37" t="n"/>
      <c r="E506" s="36" t="n"/>
    </row>
    <row r="507">
      <c r="A507" s="37" t="n"/>
      <c r="E507" s="36" t="n"/>
    </row>
    <row r="508">
      <c r="A508" s="37" t="n"/>
      <c r="E508" s="36" t="n"/>
    </row>
    <row r="509">
      <c r="A509" s="37" t="n"/>
      <c r="E509" s="36" t="n"/>
    </row>
    <row r="510">
      <c r="A510" s="37" t="n"/>
      <c r="E510" s="36" t="n"/>
    </row>
  </sheetData>
  <conditionalFormatting sqref="H9">
    <cfRule type="expression" priority="1" dxfId="0">
      <formula>ISNUMBER(SEARCH("Unreconciled",H9))</formula>
    </cfRule>
    <cfRule type="expression" priority="2" dxfId="1">
      <formula>LEFT(H9,10)="Reconciled"</formula>
    </cfRule>
  </conditionalFormatting>
  <dataValidations count="1">
    <dataValidation sqref="D11:D510" showDropDown="0" showInputMessage="0" showErrorMessage="0" allowBlank="1" type="list">
      <formula1>"Groceries,Dining out,Fuel / Transport,Subscriptions,Kids / Activities,Travel,Personal Care,Health / Pharmacy,Home / Hardware,Shopping (Amazon/misc),Entertainment,Gifts / Donations,Other / misc"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1" t="inlineStr">
        <is>
          <t>Asset ROI / Reinvestment</t>
        </is>
      </c>
    </row>
    <row r="2">
      <c r="A2" s="12" t="inlineStr">
        <is>
          <t>Works for any return-producing asset: solar, rental property, a business, dividend portfolio, etc.</t>
        </is>
      </c>
    </row>
    <row r="4">
      <c r="A4" s="24" t="inlineStr">
        <is>
          <t>ASSET INPUTS</t>
        </is>
      </c>
      <c r="B4" s="26" t="n"/>
    </row>
    <row r="5">
      <c r="A5" t="inlineStr">
        <is>
          <t>Asset name</t>
        </is>
      </c>
      <c r="B5" s="34" t="inlineStr">
        <is>
          <t>e.g., Rental @ 123 Main St</t>
        </is>
      </c>
    </row>
    <row r="6">
      <c r="A6" t="inlineStr">
        <is>
          <t>Asset type</t>
        </is>
      </c>
      <c r="B6" s="34" t="inlineStr">
        <is>
          <t>Rental property</t>
        </is>
      </c>
    </row>
    <row r="7">
      <c r="A7" t="inlineStr">
        <is>
          <t>Initial capital (net of incentives)</t>
        </is>
      </c>
      <c r="B7" s="15" t="n">
        <v>0</v>
      </c>
      <c r="O7" s="18">
        <f>-B7</f>
        <v/>
      </c>
    </row>
    <row r="8">
      <c r="A8" t="inlineStr">
        <is>
          <t>Expected annual return ($)</t>
        </is>
      </c>
      <c r="B8" s="15" t="n">
        <v>0</v>
      </c>
    </row>
    <row r="9">
      <c r="A9" t="inlineStr">
        <is>
          <t>Expected annual return (%)</t>
        </is>
      </c>
      <c r="B9" s="14">
        <f>IFERROR(B8/B7,0)</f>
        <v/>
      </c>
    </row>
    <row r="10">
      <c r="A10" t="inlineStr">
        <is>
          <t>In-service / purchase date</t>
        </is>
      </c>
      <c r="B10" s="38" t="n">
        <v>46023</v>
      </c>
    </row>
    <row r="12">
      <c r="A12" s="16" t="inlineStr">
        <is>
          <t>MONTHLY RETURN / INCOME (enter actuals)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</row>
    <row r="13">
      <c r="B13" s="23" t="inlineStr">
        <is>
          <t>Jan</t>
        </is>
      </c>
      <c r="C13" s="23" t="inlineStr">
        <is>
          <t>Feb</t>
        </is>
      </c>
      <c r="D13" s="23" t="inlineStr">
        <is>
          <t>Mar</t>
        </is>
      </c>
      <c r="E13" s="23" t="inlineStr">
        <is>
          <t>Apr</t>
        </is>
      </c>
      <c r="F13" s="23" t="inlineStr">
        <is>
          <t>May</t>
        </is>
      </c>
      <c r="G13" s="23" t="inlineStr">
        <is>
          <t>Jun</t>
        </is>
      </c>
      <c r="H13" s="23" t="inlineStr">
        <is>
          <t>Jul</t>
        </is>
      </c>
      <c r="I13" s="23" t="inlineStr">
        <is>
          <t>Aug</t>
        </is>
      </c>
      <c r="J13" s="23" t="inlineStr">
        <is>
          <t>Sep</t>
        </is>
      </c>
      <c r="K13" s="23" t="inlineStr">
        <is>
          <t>Oct</t>
        </is>
      </c>
      <c r="L13" s="23" t="inlineStr">
        <is>
          <t>Nov</t>
        </is>
      </c>
      <c r="M13" s="23" t="inlineStr">
        <is>
          <t>Dec</t>
        </is>
      </c>
      <c r="N13" s="23" t="inlineStr">
        <is>
          <t>YTD</t>
        </is>
      </c>
    </row>
    <row r="14">
      <c r="A14" t="inlineStr">
        <is>
          <t>Monthly return / income ($)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8">
        <f>SUM(B14:M14)</f>
        <v/>
      </c>
    </row>
    <row r="15">
      <c r="A15" t="inlineStr">
        <is>
          <t>Cumulative return ($)</t>
        </is>
      </c>
      <c r="B15" s="18">
        <f>B14</f>
        <v/>
      </c>
      <c r="C15" s="18">
        <f>B15+C14</f>
        <v/>
      </c>
      <c r="D15" s="18">
        <f>C15+D14</f>
        <v/>
      </c>
      <c r="E15" s="18">
        <f>D15+E14</f>
        <v/>
      </c>
      <c r="F15" s="18">
        <f>E15+F14</f>
        <v/>
      </c>
      <c r="G15" s="18">
        <f>F15+G14</f>
        <v/>
      </c>
      <c r="H15" s="18">
        <f>G15+H14</f>
        <v/>
      </c>
      <c r="I15" s="18">
        <f>H15+I14</f>
        <v/>
      </c>
      <c r="J15" s="18">
        <f>I15+J14</f>
        <v/>
      </c>
      <c r="K15" s="18">
        <f>J15+K14</f>
        <v/>
      </c>
      <c r="L15" s="18">
        <f>K15+L14</f>
        <v/>
      </c>
      <c r="M15" s="18">
        <f>L15+M14</f>
        <v/>
      </c>
      <c r="N15" s="18" t="n"/>
    </row>
    <row r="17">
      <c r="A17" s="24" t="inlineStr">
        <is>
          <t>ROI METRICS</t>
        </is>
      </c>
      <c r="B17" s="26" t="n"/>
    </row>
    <row r="18">
      <c r="A18" s="16" t="inlineStr">
        <is>
          <t>Cumulative return to date</t>
        </is>
      </c>
      <c r="B18" s="18">
        <f>IFERROR(LOOKUP(2,1/(B15:M15&lt;&gt;""),B15:M15),0)</f>
        <v/>
      </c>
    </row>
    <row r="19">
      <c r="A19" s="16" t="inlineStr">
        <is>
          <t>ROI to date (%)</t>
        </is>
      </c>
      <c r="B19" s="14">
        <f>IFERROR(B18/B7,0)</f>
        <v/>
      </c>
    </row>
    <row r="20">
      <c r="A20" s="16" t="inlineStr">
        <is>
          <t>Net position (cumulative − capital)</t>
        </is>
      </c>
      <c r="B20" s="18">
        <f>B18-B7</f>
        <v/>
      </c>
    </row>
    <row r="21">
      <c r="A21" s="16" t="inlineStr">
        <is>
          <t>Simple payback (years)</t>
        </is>
      </c>
      <c r="B21" s="19">
        <f>IFERROR(B7/B8,0)</f>
        <v/>
      </c>
      <c r="C21" s="12" t="inlineStr">
        <is>
          <t>capital ÷ expected annual return</t>
        </is>
      </c>
    </row>
    <row r="22">
      <c r="A22" s="16" t="inlineStr">
        <is>
          <t>Est. break-even date</t>
        </is>
      </c>
      <c r="B22" s="37">
        <f>IFERROR(EDATE(B10,ROUNDUP(B7/(B8/12),0)),"—")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21" t="inlineStr">
        <is>
          <t>Utility Reconciliation</t>
        </is>
      </c>
    </row>
    <row r="2">
      <c r="A2" s="12" t="inlineStr">
        <is>
          <t>Confirms the utility bills you enter manually match what actually left your account.</t>
        </is>
      </c>
    </row>
    <row r="3">
      <c r="A3" t="inlineStr">
        <is>
          <t>Match keyword in Imports:</t>
        </is>
      </c>
      <c r="B3" s="34" t="inlineStr">
        <is>
          <t>ELECTRIC</t>
        </is>
      </c>
      <c r="C3" s="12" t="inlineStr">
        <is>
          <t>e.g., your utility name. Sums Imports outflows whose description contains this.</t>
        </is>
      </c>
    </row>
    <row r="5">
      <c r="A5" s="4" t="n"/>
      <c r="B5" s="23" t="inlineStr">
        <is>
          <t>Jan</t>
        </is>
      </c>
      <c r="C5" s="23" t="inlineStr">
        <is>
          <t>Feb</t>
        </is>
      </c>
      <c r="D5" s="23" t="inlineStr">
        <is>
          <t>Mar</t>
        </is>
      </c>
      <c r="E5" s="23" t="inlineStr">
        <is>
          <t>Apr</t>
        </is>
      </c>
      <c r="F5" s="23" t="inlineStr">
        <is>
          <t>May</t>
        </is>
      </c>
      <c r="G5" s="23" t="inlineStr">
        <is>
          <t>Jun</t>
        </is>
      </c>
      <c r="H5" s="23" t="inlineStr">
        <is>
          <t>Jul</t>
        </is>
      </c>
      <c r="I5" s="23" t="inlineStr">
        <is>
          <t>Aug</t>
        </is>
      </c>
      <c r="J5" s="23" t="inlineStr">
        <is>
          <t>Sep</t>
        </is>
      </c>
      <c r="K5" s="23" t="inlineStr">
        <is>
          <t>Oct</t>
        </is>
      </c>
      <c r="L5" s="23" t="inlineStr">
        <is>
          <t>Nov</t>
        </is>
      </c>
      <c r="M5" s="23" t="inlineStr">
        <is>
          <t>Dec</t>
        </is>
      </c>
      <c r="N5" s="23" t="inlineStr">
        <is>
          <t>YTD</t>
        </is>
      </c>
    </row>
    <row r="6">
      <c r="A6" t="inlineStr">
        <is>
          <t>Manual (Electric + Gas)</t>
        </is>
      </c>
      <c r="B6" s="18">
        <f>'Income Statement'!B21+'Income Statement'!B22</f>
        <v/>
      </c>
      <c r="C6" s="18">
        <f>'Income Statement'!C21+'Income Statement'!C22</f>
        <v/>
      </c>
      <c r="D6" s="18">
        <f>'Income Statement'!D21+'Income Statement'!D22</f>
        <v/>
      </c>
      <c r="E6" s="18">
        <f>'Income Statement'!E21+'Income Statement'!E22</f>
        <v/>
      </c>
      <c r="F6" s="18">
        <f>'Income Statement'!F21+'Income Statement'!F22</f>
        <v/>
      </c>
      <c r="G6" s="18">
        <f>'Income Statement'!G21+'Income Statement'!G22</f>
        <v/>
      </c>
      <c r="H6" s="18">
        <f>'Income Statement'!H21+'Income Statement'!H22</f>
        <v/>
      </c>
      <c r="I6" s="18">
        <f>'Income Statement'!I21+'Income Statement'!I22</f>
        <v/>
      </c>
      <c r="J6" s="18">
        <f>'Income Statement'!J21+'Income Statement'!J22</f>
        <v/>
      </c>
      <c r="K6" s="18">
        <f>'Income Statement'!K21+'Income Statement'!K22</f>
        <v/>
      </c>
      <c r="L6" s="18">
        <f>'Income Statement'!L21+'Income Statement'!L22</f>
        <v/>
      </c>
      <c r="M6" s="18">
        <f>'Income Statement'!M21+'Income Statement'!M22</f>
        <v/>
      </c>
      <c r="N6" s="18">
        <f>SUM(B6:M6)</f>
        <v/>
      </c>
    </row>
    <row r="7">
      <c r="A7" t="inlineStr">
        <is>
          <t>From Imports (actual outflow)</t>
        </is>
      </c>
      <c r="B7" s="18">
        <f>-SUMIFS(Imports!$C$5:$C,Imports!$B$5:$B,"*"&amp;$B$3&amp;"*",Imports!$A$5:$A,"&gt;="&amp;DATE(2026,1,1),Imports!$A$5:$A,"&lt;"&amp;EDATE(DATE(2026,1,1),1))</f>
        <v/>
      </c>
      <c r="C7" s="18">
        <f>-SUMIFS(Imports!$C$5:$C,Imports!$B$5:$B,"*"&amp;$B$3&amp;"*",Imports!$A$5:$A,"&gt;="&amp;DATE(2026,2,1),Imports!$A$5:$A,"&lt;"&amp;EDATE(DATE(2026,2,1),1))</f>
        <v/>
      </c>
      <c r="D7" s="18">
        <f>-SUMIFS(Imports!$C$5:$C,Imports!$B$5:$B,"*"&amp;$B$3&amp;"*",Imports!$A$5:$A,"&gt;="&amp;DATE(2026,3,1),Imports!$A$5:$A,"&lt;"&amp;EDATE(DATE(2026,3,1),1))</f>
        <v/>
      </c>
      <c r="E7" s="18">
        <f>-SUMIFS(Imports!$C$5:$C,Imports!$B$5:$B,"*"&amp;$B$3&amp;"*",Imports!$A$5:$A,"&gt;="&amp;DATE(2026,4,1),Imports!$A$5:$A,"&lt;"&amp;EDATE(DATE(2026,4,1),1))</f>
        <v/>
      </c>
      <c r="F7" s="18">
        <f>-SUMIFS(Imports!$C$5:$C,Imports!$B$5:$B,"*"&amp;$B$3&amp;"*",Imports!$A$5:$A,"&gt;="&amp;DATE(2026,5,1),Imports!$A$5:$A,"&lt;"&amp;EDATE(DATE(2026,5,1),1))</f>
        <v/>
      </c>
      <c r="G7" s="18">
        <f>-SUMIFS(Imports!$C$5:$C,Imports!$B$5:$B,"*"&amp;$B$3&amp;"*",Imports!$A$5:$A,"&gt;="&amp;DATE(2026,6,1),Imports!$A$5:$A,"&lt;"&amp;EDATE(DATE(2026,6,1),1))</f>
        <v/>
      </c>
      <c r="H7" s="18">
        <f>-SUMIFS(Imports!$C$5:$C,Imports!$B$5:$B,"*"&amp;$B$3&amp;"*",Imports!$A$5:$A,"&gt;="&amp;DATE(2026,7,1),Imports!$A$5:$A,"&lt;"&amp;EDATE(DATE(2026,7,1),1))</f>
        <v/>
      </c>
      <c r="I7" s="18">
        <f>-SUMIFS(Imports!$C$5:$C,Imports!$B$5:$B,"*"&amp;$B$3&amp;"*",Imports!$A$5:$A,"&gt;="&amp;DATE(2026,8,1),Imports!$A$5:$A,"&lt;"&amp;EDATE(DATE(2026,8,1),1))</f>
        <v/>
      </c>
      <c r="J7" s="18">
        <f>-SUMIFS(Imports!$C$5:$C,Imports!$B$5:$B,"*"&amp;$B$3&amp;"*",Imports!$A$5:$A,"&gt;="&amp;DATE(2026,9,1),Imports!$A$5:$A,"&lt;"&amp;EDATE(DATE(2026,9,1),1))</f>
        <v/>
      </c>
      <c r="K7" s="18">
        <f>-SUMIFS(Imports!$C$5:$C,Imports!$B$5:$B,"*"&amp;$B$3&amp;"*",Imports!$A$5:$A,"&gt;="&amp;DATE(2026,10,1),Imports!$A$5:$A,"&lt;"&amp;EDATE(DATE(2026,10,1),1))</f>
        <v/>
      </c>
      <c r="L7" s="18">
        <f>-SUMIFS(Imports!$C$5:$C,Imports!$B$5:$B,"*"&amp;$B$3&amp;"*",Imports!$A$5:$A,"&gt;="&amp;DATE(2026,11,1),Imports!$A$5:$A,"&lt;"&amp;EDATE(DATE(2026,11,1),1))</f>
        <v/>
      </c>
      <c r="M7" s="18">
        <f>-SUMIFS(Imports!$C$5:$C,Imports!$B$5:$B,"*"&amp;$B$3&amp;"*",Imports!$A$5:$A,"&gt;="&amp;DATE(2026,12,1),Imports!$A$5:$A,"&lt;"&amp;EDATE(DATE(2026,12,1),1))</f>
        <v/>
      </c>
      <c r="N7" s="18">
        <f>SUM(B7:M7)</f>
        <v/>
      </c>
    </row>
    <row r="8">
      <c r="A8" t="inlineStr">
        <is>
          <t>Difference (manual − actual)</t>
        </is>
      </c>
      <c r="B8" s="18">
        <f>B6-B7</f>
        <v/>
      </c>
      <c r="C8" s="18">
        <f>C6-C7</f>
        <v/>
      </c>
      <c r="D8" s="18">
        <f>D6-D7</f>
        <v/>
      </c>
      <c r="E8" s="18">
        <f>E6-E7</f>
        <v/>
      </c>
      <c r="F8" s="18">
        <f>F6-F7</f>
        <v/>
      </c>
      <c r="G8" s="18">
        <f>G6-G7</f>
        <v/>
      </c>
      <c r="H8" s="18">
        <f>H6-H7</f>
        <v/>
      </c>
      <c r="I8" s="18">
        <f>I6-I7</f>
        <v/>
      </c>
      <c r="J8" s="18">
        <f>J6-J7</f>
        <v/>
      </c>
      <c r="K8" s="18">
        <f>K6-K7</f>
        <v/>
      </c>
      <c r="L8" s="18">
        <f>L6-L7</f>
        <v/>
      </c>
      <c r="M8" s="18">
        <f>M6-M7</f>
        <v/>
      </c>
      <c r="N8" s="18">
        <f>N6-N7</f>
        <v/>
      </c>
    </row>
    <row r="9">
      <c r="A9" t="inlineStr">
        <is>
          <t>Flag</t>
        </is>
      </c>
      <c r="B9">
        <f>IF(AND(B6=0,B7=0),"",IF(ABS(B8)&lt;1,"OK","CHECK "&amp;TEXT(B8,"$+#,##0;$-#,##0")))</f>
        <v/>
      </c>
      <c r="C9">
        <f>IF(AND(C6=0,C7=0),"",IF(ABS(C8)&lt;1,"OK","CHECK "&amp;TEXT(C8,"$+#,##0;$-#,##0")))</f>
        <v/>
      </c>
      <c r="D9">
        <f>IF(AND(D6=0,D7=0),"",IF(ABS(D8)&lt;1,"OK","CHECK "&amp;TEXT(D8,"$+#,##0;$-#,##0")))</f>
        <v/>
      </c>
      <c r="E9">
        <f>IF(AND(E6=0,E7=0),"",IF(ABS(E8)&lt;1,"OK","CHECK "&amp;TEXT(E8,"$+#,##0;$-#,##0")))</f>
        <v/>
      </c>
      <c r="F9">
        <f>IF(AND(F6=0,F7=0),"",IF(ABS(F8)&lt;1,"OK","CHECK "&amp;TEXT(F8,"$+#,##0;$-#,##0")))</f>
        <v/>
      </c>
      <c r="G9">
        <f>IF(AND(G6=0,G7=0),"",IF(ABS(G8)&lt;1,"OK","CHECK "&amp;TEXT(G8,"$+#,##0;$-#,##0")))</f>
        <v/>
      </c>
      <c r="H9">
        <f>IF(AND(H6=0,H7=0),"",IF(ABS(H8)&lt;1,"OK","CHECK "&amp;TEXT(H8,"$+#,##0;$-#,##0")))</f>
        <v/>
      </c>
      <c r="I9">
        <f>IF(AND(I6=0,I7=0),"",IF(ABS(I8)&lt;1,"OK","CHECK "&amp;TEXT(I8,"$+#,##0;$-#,##0")))</f>
        <v/>
      </c>
      <c r="J9">
        <f>IF(AND(J6=0,J7=0),"",IF(ABS(J8)&lt;1,"OK","CHECK "&amp;TEXT(J8,"$+#,##0;$-#,##0")))</f>
        <v/>
      </c>
      <c r="K9">
        <f>IF(AND(K6=0,K7=0),"",IF(ABS(K8)&lt;1,"OK","CHECK "&amp;TEXT(K8,"$+#,##0;$-#,##0")))</f>
        <v/>
      </c>
      <c r="L9">
        <f>IF(AND(L6=0,L7=0),"",IF(ABS(L8)&lt;1,"OK","CHECK "&amp;TEXT(L8,"$+#,##0;$-#,##0")))</f>
        <v/>
      </c>
      <c r="M9">
        <f>IF(AND(M6=0,M7=0),"",IF(ABS(M8)&lt;1,"OK","CHECK "&amp;TEXT(M8,"$+#,##0;$-#,##0")))</f>
        <v/>
      </c>
      <c r="N9">
        <f>IF(ABS(N8)&lt;1,"OK","CHECK — off by "&amp;TEXT(N8,"$#,##0"))</f>
        <v/>
      </c>
    </row>
    <row r="11">
      <c r="A11" s="8" t="inlineStr">
        <is>
          <t>Note: the YTD flag (column N) is the one to trust — monthly gaps often just reflect billing dates that drift across month boundaries and wash out over the year.</t>
        </is>
      </c>
    </row>
  </sheetData>
  <conditionalFormatting sqref="B9:N9">
    <cfRule type="expression" priority="1" dxfId="0">
      <formula>ISNUMBER(SEARCH("CHECK",B9))</formula>
    </cfRule>
    <cfRule type="expression" priority="2" dxfId="1">
      <formula>LEFT(B9,2)="OK"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5" customWidth="1" min="3" max="3"/>
    <col width="20" customWidth="1" min="4" max="4"/>
    <col width="22" customWidth="1" min="5" max="5"/>
  </cols>
  <sheetData>
    <row r="1">
      <c r="A1" s="33" t="inlineStr">
        <is>
          <t>Imports — paste raw transactions below (data starts row 5)</t>
        </is>
      </c>
    </row>
    <row r="2">
      <c r="A2" s="12" t="inlineStr">
        <is>
          <t>Sign convention: Amount POSITIVE = money in, NEGATIVE = money out.   [format: signed]</t>
        </is>
      </c>
    </row>
    <row r="4">
      <c r="A4" s="9" t="inlineStr">
        <is>
          <t>Date</t>
        </is>
      </c>
      <c r="B4" s="9" t="inlineStr">
        <is>
          <t>Description</t>
        </is>
      </c>
      <c r="C4" s="9" t="inlineStr">
        <is>
          <t>Amount</t>
        </is>
      </c>
      <c r="D4" s="9" t="inlineStr">
        <is>
          <t>Account</t>
        </is>
      </c>
      <c r="E4" s="9" t="inlineStr">
        <is>
          <t>Category (auto)</t>
        </is>
      </c>
    </row>
    <row r="5">
      <c r="A5" s="37" t="n"/>
      <c r="C5" s="39" t="n"/>
    </row>
    <row r="6">
      <c r="A6" s="37" t="n"/>
      <c r="C6" s="39" t="n"/>
    </row>
    <row r="7">
      <c r="A7" s="37" t="n"/>
      <c r="C7" s="39" t="n"/>
    </row>
    <row r="8">
      <c r="A8" s="37" t="n"/>
      <c r="C8" s="39" t="n"/>
    </row>
    <row r="9">
      <c r="A9" s="37" t="n"/>
      <c r="C9" s="39" t="n"/>
    </row>
    <row r="10">
      <c r="A10" s="37" t="n"/>
      <c r="C10" s="39" t="n"/>
    </row>
    <row r="11">
      <c r="A11" s="37" t="n"/>
      <c r="C11" s="39" t="n"/>
    </row>
    <row r="12">
      <c r="A12" s="37" t="n"/>
      <c r="C12" s="39" t="n"/>
    </row>
    <row r="13">
      <c r="A13" s="37" t="n"/>
      <c r="C13" s="39" t="n"/>
    </row>
    <row r="14">
      <c r="A14" s="37" t="n"/>
      <c r="C14" s="39" t="n"/>
    </row>
    <row r="15">
      <c r="A15" s="37" t="n"/>
      <c r="C15" s="39" t="n"/>
    </row>
    <row r="16">
      <c r="A16" s="37" t="n"/>
      <c r="C16" s="39" t="n"/>
    </row>
    <row r="17">
      <c r="A17" s="37" t="n"/>
      <c r="C17" s="39" t="n"/>
    </row>
    <row r="18">
      <c r="A18" s="37" t="n"/>
      <c r="C18" s="39" t="n"/>
    </row>
    <row r="19">
      <c r="A19" s="37" t="n"/>
      <c r="C19" s="39" t="n"/>
    </row>
    <row r="20">
      <c r="A20" s="37" t="n"/>
      <c r="C20" s="39" t="n"/>
    </row>
    <row r="21">
      <c r="A21" s="37" t="n"/>
      <c r="C21" s="39" t="n"/>
    </row>
    <row r="22">
      <c r="A22" s="37" t="n"/>
      <c r="C22" s="39" t="n"/>
    </row>
    <row r="23">
      <c r="A23" s="37" t="n"/>
      <c r="C23" s="39" t="n"/>
    </row>
    <row r="24">
      <c r="A24" s="37" t="n"/>
      <c r="C24" s="39" t="n"/>
    </row>
    <row r="25">
      <c r="A25" s="37" t="n"/>
      <c r="C25" s="39" t="n"/>
    </row>
    <row r="26">
      <c r="A26" s="37" t="n"/>
      <c r="C26" s="39" t="n"/>
    </row>
    <row r="27">
      <c r="A27" s="37" t="n"/>
      <c r="C27" s="39" t="n"/>
    </row>
    <row r="28">
      <c r="A28" s="37" t="n"/>
      <c r="C28" s="39" t="n"/>
    </row>
    <row r="29">
      <c r="A29" s="37" t="n"/>
      <c r="C29" s="39" t="n"/>
    </row>
    <row r="30">
      <c r="A30" s="37" t="n"/>
      <c r="C30" s="39" t="n"/>
    </row>
    <row r="31">
      <c r="A31" s="37" t="n"/>
      <c r="C31" s="39" t="n"/>
    </row>
    <row r="32">
      <c r="A32" s="37" t="n"/>
      <c r="C32" s="39" t="n"/>
    </row>
    <row r="33">
      <c r="A33" s="37" t="n"/>
      <c r="C33" s="39" t="n"/>
    </row>
    <row r="34">
      <c r="A34" s="37" t="n"/>
      <c r="C34" s="39" t="n"/>
    </row>
    <row r="35">
      <c r="A35" s="37" t="n"/>
      <c r="C35" s="39" t="n"/>
    </row>
    <row r="36">
      <c r="A36" s="37" t="n"/>
      <c r="C36" s="39" t="n"/>
    </row>
    <row r="37">
      <c r="A37" s="37" t="n"/>
      <c r="C37" s="39" t="n"/>
    </row>
    <row r="38">
      <c r="A38" s="37" t="n"/>
      <c r="C38" s="39" t="n"/>
    </row>
    <row r="39">
      <c r="A39" s="37" t="n"/>
      <c r="C39" s="39" t="n"/>
    </row>
    <row r="40">
      <c r="A40" s="37" t="n"/>
      <c r="C40" s="39" t="n"/>
    </row>
    <row r="41">
      <c r="A41" s="37" t="n"/>
      <c r="C41" s="39" t="n"/>
    </row>
    <row r="42">
      <c r="A42" s="37" t="n"/>
      <c r="C42" s="39" t="n"/>
    </row>
    <row r="43">
      <c r="A43" s="37" t="n"/>
      <c r="C43" s="39" t="n"/>
    </row>
    <row r="44">
      <c r="A44" s="37" t="n"/>
      <c r="C44" s="39" t="n"/>
    </row>
    <row r="45">
      <c r="A45" s="37" t="n"/>
      <c r="C45" s="39" t="n"/>
    </row>
    <row r="46">
      <c r="A46" s="37" t="n"/>
      <c r="C46" s="39" t="n"/>
    </row>
    <row r="47">
      <c r="A47" s="37" t="n"/>
      <c r="C47" s="39" t="n"/>
    </row>
    <row r="48">
      <c r="A48" s="37" t="n"/>
      <c r="C48" s="39" t="n"/>
    </row>
    <row r="49">
      <c r="A49" s="37" t="n"/>
      <c r="C49" s="39" t="n"/>
    </row>
    <row r="50">
      <c r="A50" s="37" t="n"/>
      <c r="C50" s="39" t="n"/>
    </row>
    <row r="51">
      <c r="A51" s="37" t="n"/>
      <c r="C51" s="39" t="n"/>
    </row>
    <row r="52">
      <c r="A52" s="37" t="n"/>
      <c r="C52" s="39" t="n"/>
    </row>
    <row r="53">
      <c r="A53" s="37" t="n"/>
      <c r="C53" s="39" t="n"/>
    </row>
    <row r="54">
      <c r="A54" s="37" t="n"/>
      <c r="C54" s="39" t="n"/>
    </row>
    <row r="55">
      <c r="A55" s="37" t="n"/>
      <c r="C55" s="39" t="n"/>
    </row>
    <row r="56">
      <c r="A56" s="37" t="n"/>
      <c r="C56" s="39" t="n"/>
    </row>
    <row r="57">
      <c r="A57" s="37" t="n"/>
      <c r="C57" s="39" t="n"/>
    </row>
    <row r="58">
      <c r="A58" s="37" t="n"/>
      <c r="C58" s="39" t="n"/>
    </row>
    <row r="59">
      <c r="A59" s="37" t="n"/>
      <c r="C59" s="39" t="n"/>
    </row>
    <row r="60">
      <c r="A60" s="37" t="n"/>
      <c r="C60" s="39" t="n"/>
    </row>
    <row r="61">
      <c r="A61" s="37" t="n"/>
      <c r="C61" s="39" t="n"/>
    </row>
    <row r="62">
      <c r="A62" s="37" t="n"/>
      <c r="C62" s="39" t="n"/>
    </row>
    <row r="63">
      <c r="A63" s="37" t="n"/>
      <c r="C63" s="39" t="n"/>
    </row>
    <row r="64">
      <c r="A64" s="37" t="n"/>
      <c r="C64" s="39" t="n"/>
    </row>
    <row r="65">
      <c r="A65" s="37" t="n"/>
      <c r="C65" s="39" t="n"/>
    </row>
    <row r="66">
      <c r="A66" s="37" t="n"/>
      <c r="C66" s="39" t="n"/>
    </row>
    <row r="67">
      <c r="A67" s="37" t="n"/>
      <c r="C67" s="39" t="n"/>
    </row>
    <row r="68">
      <c r="A68" s="37" t="n"/>
      <c r="C68" s="39" t="n"/>
    </row>
    <row r="69">
      <c r="A69" s="37" t="n"/>
      <c r="C69" s="39" t="n"/>
    </row>
    <row r="70">
      <c r="A70" s="37" t="n"/>
      <c r="C70" s="39" t="n"/>
    </row>
    <row r="71">
      <c r="A71" s="37" t="n"/>
      <c r="C71" s="39" t="n"/>
    </row>
    <row r="72">
      <c r="A72" s="37" t="n"/>
      <c r="C72" s="39" t="n"/>
    </row>
    <row r="73">
      <c r="A73" s="37" t="n"/>
      <c r="C73" s="39" t="n"/>
    </row>
    <row r="74">
      <c r="A74" s="37" t="n"/>
      <c r="C74" s="39" t="n"/>
    </row>
    <row r="75">
      <c r="A75" s="37" t="n"/>
      <c r="C75" s="39" t="n"/>
    </row>
    <row r="76">
      <c r="A76" s="37" t="n"/>
      <c r="C76" s="39" t="n"/>
    </row>
    <row r="77">
      <c r="A77" s="37" t="n"/>
      <c r="C77" s="39" t="n"/>
    </row>
    <row r="78">
      <c r="A78" s="37" t="n"/>
      <c r="C78" s="39" t="n"/>
    </row>
    <row r="79">
      <c r="A79" s="37" t="n"/>
      <c r="C79" s="39" t="n"/>
    </row>
    <row r="80">
      <c r="A80" s="37" t="n"/>
      <c r="C80" s="39" t="n"/>
    </row>
    <row r="81">
      <c r="A81" s="37" t="n"/>
      <c r="C81" s="39" t="n"/>
    </row>
    <row r="82">
      <c r="A82" s="37" t="n"/>
      <c r="C82" s="39" t="n"/>
    </row>
    <row r="83">
      <c r="A83" s="37" t="n"/>
      <c r="C83" s="39" t="n"/>
    </row>
    <row r="84">
      <c r="A84" s="37" t="n"/>
      <c r="C84" s="39" t="n"/>
    </row>
    <row r="85">
      <c r="A85" s="37" t="n"/>
      <c r="C85" s="39" t="n"/>
    </row>
    <row r="86">
      <c r="A86" s="37" t="n"/>
      <c r="C86" s="39" t="n"/>
    </row>
    <row r="87">
      <c r="A87" s="37" t="n"/>
      <c r="C87" s="39" t="n"/>
    </row>
    <row r="88">
      <c r="A88" s="37" t="n"/>
      <c r="C88" s="39" t="n"/>
    </row>
    <row r="89">
      <c r="A89" s="37" t="n"/>
      <c r="C89" s="39" t="n"/>
    </row>
    <row r="90">
      <c r="A90" s="37" t="n"/>
      <c r="C90" s="39" t="n"/>
    </row>
    <row r="91">
      <c r="A91" s="37" t="n"/>
      <c r="C91" s="39" t="n"/>
    </row>
    <row r="92">
      <c r="A92" s="37" t="n"/>
      <c r="C92" s="39" t="n"/>
    </row>
    <row r="93">
      <c r="A93" s="37" t="n"/>
      <c r="C93" s="39" t="n"/>
    </row>
    <row r="94">
      <c r="A94" s="37" t="n"/>
      <c r="C94" s="39" t="n"/>
    </row>
    <row r="95">
      <c r="A95" s="37" t="n"/>
      <c r="C95" s="39" t="n"/>
    </row>
    <row r="96">
      <c r="A96" s="37" t="n"/>
      <c r="C96" s="39" t="n"/>
    </row>
    <row r="97">
      <c r="A97" s="37" t="n"/>
      <c r="C97" s="39" t="n"/>
    </row>
    <row r="98">
      <c r="A98" s="37" t="n"/>
      <c r="C98" s="39" t="n"/>
    </row>
    <row r="99">
      <c r="A99" s="37" t="n"/>
      <c r="C99" s="39" t="n"/>
    </row>
    <row r="100">
      <c r="A100" s="37" t="n"/>
      <c r="C100" s="39" t="n"/>
    </row>
    <row r="101">
      <c r="A101" s="37" t="n"/>
      <c r="C101" s="39" t="n"/>
    </row>
    <row r="102">
      <c r="A102" s="37" t="n"/>
      <c r="C102" s="39" t="n"/>
    </row>
    <row r="103">
      <c r="A103" s="37" t="n"/>
      <c r="C103" s="39" t="n"/>
    </row>
    <row r="104">
      <c r="A104" s="37" t="n"/>
      <c r="C104" s="39" t="n"/>
    </row>
    <row r="105">
      <c r="A105" s="37" t="n"/>
      <c r="C105" s="39" t="n"/>
    </row>
    <row r="106">
      <c r="A106" s="37" t="n"/>
      <c r="C106" s="39" t="n"/>
    </row>
    <row r="107">
      <c r="A107" s="37" t="n"/>
      <c r="C107" s="39" t="n"/>
    </row>
    <row r="108">
      <c r="A108" s="37" t="n"/>
      <c r="C108" s="39" t="n"/>
    </row>
    <row r="109">
      <c r="A109" s="37" t="n"/>
      <c r="C109" s="39" t="n"/>
    </row>
    <row r="110">
      <c r="A110" s="37" t="n"/>
      <c r="C110" s="39" t="n"/>
    </row>
    <row r="111">
      <c r="A111" s="37" t="n"/>
      <c r="C111" s="39" t="n"/>
    </row>
    <row r="112">
      <c r="A112" s="37" t="n"/>
      <c r="C112" s="39" t="n"/>
    </row>
    <row r="113">
      <c r="A113" s="37" t="n"/>
      <c r="C113" s="39" t="n"/>
    </row>
    <row r="114">
      <c r="A114" s="37" t="n"/>
      <c r="C114" s="39" t="n"/>
    </row>
    <row r="115">
      <c r="A115" s="37" t="n"/>
      <c r="C115" s="39" t="n"/>
    </row>
    <row r="116">
      <c r="A116" s="37" t="n"/>
      <c r="C116" s="39" t="n"/>
    </row>
    <row r="117">
      <c r="A117" s="37" t="n"/>
      <c r="C117" s="39" t="n"/>
    </row>
    <row r="118">
      <c r="A118" s="37" t="n"/>
      <c r="C118" s="39" t="n"/>
    </row>
    <row r="119">
      <c r="A119" s="37" t="n"/>
      <c r="C119" s="39" t="n"/>
    </row>
    <row r="120">
      <c r="A120" s="37" t="n"/>
      <c r="C120" s="39" t="n"/>
    </row>
    <row r="121">
      <c r="A121" s="37" t="n"/>
      <c r="C121" s="39" t="n"/>
    </row>
    <row r="122">
      <c r="A122" s="37" t="n"/>
      <c r="C122" s="39" t="n"/>
    </row>
    <row r="123">
      <c r="A123" s="37" t="n"/>
      <c r="C123" s="39" t="n"/>
    </row>
    <row r="124">
      <c r="A124" s="37" t="n"/>
      <c r="C124" s="39" t="n"/>
    </row>
    <row r="125">
      <c r="A125" s="37" t="n"/>
      <c r="C125" s="39" t="n"/>
    </row>
    <row r="126">
      <c r="A126" s="37" t="n"/>
      <c r="C126" s="39" t="n"/>
    </row>
    <row r="127">
      <c r="A127" s="37" t="n"/>
      <c r="C127" s="39" t="n"/>
    </row>
    <row r="128">
      <c r="A128" s="37" t="n"/>
      <c r="C128" s="39" t="n"/>
    </row>
    <row r="129">
      <c r="A129" s="37" t="n"/>
      <c r="C129" s="39" t="n"/>
    </row>
    <row r="130">
      <c r="A130" s="37" t="n"/>
      <c r="C130" s="39" t="n"/>
    </row>
    <row r="131">
      <c r="A131" s="37" t="n"/>
      <c r="C131" s="39" t="n"/>
    </row>
    <row r="132">
      <c r="A132" s="37" t="n"/>
      <c r="C132" s="39" t="n"/>
    </row>
    <row r="133">
      <c r="A133" s="37" t="n"/>
      <c r="C133" s="39" t="n"/>
    </row>
    <row r="134">
      <c r="A134" s="37" t="n"/>
      <c r="C134" s="39" t="n"/>
    </row>
    <row r="135">
      <c r="A135" s="37" t="n"/>
      <c r="C135" s="39" t="n"/>
    </row>
    <row r="136">
      <c r="A136" s="37" t="n"/>
      <c r="C136" s="39" t="n"/>
    </row>
    <row r="137">
      <c r="A137" s="37" t="n"/>
      <c r="C137" s="39" t="n"/>
    </row>
    <row r="138">
      <c r="A138" s="37" t="n"/>
      <c r="C138" s="39" t="n"/>
    </row>
    <row r="139">
      <c r="A139" s="37" t="n"/>
      <c r="C139" s="39" t="n"/>
    </row>
    <row r="140">
      <c r="A140" s="37" t="n"/>
      <c r="C140" s="39" t="n"/>
    </row>
    <row r="141">
      <c r="A141" s="37" t="n"/>
      <c r="C141" s="39" t="n"/>
    </row>
    <row r="142">
      <c r="A142" s="37" t="n"/>
      <c r="C142" s="39" t="n"/>
    </row>
    <row r="143">
      <c r="A143" s="37" t="n"/>
      <c r="C143" s="39" t="n"/>
    </row>
    <row r="144">
      <c r="A144" s="37" t="n"/>
      <c r="C144" s="39" t="n"/>
    </row>
    <row r="145">
      <c r="A145" s="37" t="n"/>
      <c r="C145" s="39" t="n"/>
    </row>
    <row r="146">
      <c r="A146" s="37" t="n"/>
      <c r="C146" s="39" t="n"/>
    </row>
    <row r="147">
      <c r="A147" s="37" t="n"/>
      <c r="C147" s="39" t="n"/>
    </row>
    <row r="148">
      <c r="A148" s="37" t="n"/>
      <c r="C148" s="39" t="n"/>
    </row>
    <row r="149">
      <c r="A149" s="37" t="n"/>
      <c r="C149" s="39" t="n"/>
    </row>
    <row r="150">
      <c r="A150" s="37" t="n"/>
      <c r="C150" s="39" t="n"/>
    </row>
    <row r="151">
      <c r="A151" s="37" t="n"/>
      <c r="C151" s="39" t="n"/>
    </row>
    <row r="152">
      <c r="A152" s="37" t="n"/>
      <c r="C152" s="39" t="n"/>
    </row>
    <row r="153">
      <c r="A153" s="37" t="n"/>
      <c r="C153" s="39" t="n"/>
    </row>
    <row r="154">
      <c r="A154" s="37" t="n"/>
      <c r="C154" s="39" t="n"/>
    </row>
    <row r="155">
      <c r="A155" s="37" t="n"/>
      <c r="C155" s="39" t="n"/>
    </row>
    <row r="156">
      <c r="A156" s="37" t="n"/>
      <c r="C156" s="39" t="n"/>
    </row>
    <row r="157">
      <c r="A157" s="37" t="n"/>
      <c r="C157" s="39" t="n"/>
    </row>
    <row r="158">
      <c r="A158" s="37" t="n"/>
      <c r="C158" s="39" t="n"/>
    </row>
    <row r="159">
      <c r="A159" s="37" t="n"/>
      <c r="C159" s="39" t="n"/>
    </row>
    <row r="160">
      <c r="A160" s="37" t="n"/>
      <c r="C160" s="39" t="n"/>
    </row>
    <row r="161">
      <c r="A161" s="37" t="n"/>
      <c r="C161" s="39" t="n"/>
    </row>
    <row r="162">
      <c r="A162" s="37" t="n"/>
      <c r="C162" s="39" t="n"/>
    </row>
    <row r="163">
      <c r="A163" s="37" t="n"/>
      <c r="C163" s="39" t="n"/>
    </row>
    <row r="164">
      <c r="A164" s="37" t="n"/>
      <c r="C164" s="39" t="n"/>
    </row>
    <row r="165">
      <c r="A165" s="37" t="n"/>
      <c r="C165" s="39" t="n"/>
    </row>
    <row r="166">
      <c r="A166" s="37" t="n"/>
      <c r="C166" s="39" t="n"/>
    </row>
    <row r="167">
      <c r="A167" s="37" t="n"/>
      <c r="C167" s="39" t="n"/>
    </row>
    <row r="168">
      <c r="A168" s="37" t="n"/>
      <c r="C168" s="39" t="n"/>
    </row>
    <row r="169">
      <c r="A169" s="37" t="n"/>
      <c r="C169" s="39" t="n"/>
    </row>
    <row r="170">
      <c r="A170" s="37" t="n"/>
      <c r="C170" s="39" t="n"/>
    </row>
    <row r="171">
      <c r="A171" s="37" t="n"/>
      <c r="C171" s="39" t="n"/>
    </row>
    <row r="172">
      <c r="A172" s="37" t="n"/>
      <c r="C172" s="39" t="n"/>
    </row>
    <row r="173">
      <c r="A173" s="37" t="n"/>
      <c r="C173" s="39" t="n"/>
    </row>
    <row r="174">
      <c r="A174" s="37" t="n"/>
      <c r="C174" s="39" t="n"/>
    </row>
    <row r="175">
      <c r="A175" s="37" t="n"/>
      <c r="C175" s="39" t="n"/>
    </row>
    <row r="176">
      <c r="A176" s="37" t="n"/>
      <c r="C176" s="39" t="n"/>
    </row>
    <row r="177">
      <c r="A177" s="37" t="n"/>
      <c r="C177" s="39" t="n"/>
    </row>
    <row r="178">
      <c r="A178" s="37" t="n"/>
      <c r="C178" s="39" t="n"/>
    </row>
    <row r="179">
      <c r="A179" s="37" t="n"/>
      <c r="C179" s="39" t="n"/>
    </row>
    <row r="180">
      <c r="A180" s="37" t="n"/>
      <c r="C180" s="39" t="n"/>
    </row>
    <row r="181">
      <c r="A181" s="37" t="n"/>
      <c r="C181" s="39" t="n"/>
    </row>
    <row r="182">
      <c r="A182" s="37" t="n"/>
      <c r="C182" s="39" t="n"/>
    </row>
    <row r="183">
      <c r="A183" s="37" t="n"/>
      <c r="C183" s="39" t="n"/>
    </row>
    <row r="184">
      <c r="A184" s="37" t="n"/>
      <c r="C184" s="39" t="n"/>
    </row>
    <row r="185">
      <c r="A185" s="37" t="n"/>
      <c r="C185" s="39" t="n"/>
    </row>
    <row r="186">
      <c r="A186" s="37" t="n"/>
      <c r="C186" s="39" t="n"/>
    </row>
    <row r="187">
      <c r="A187" s="37" t="n"/>
      <c r="C187" s="39" t="n"/>
    </row>
    <row r="188">
      <c r="A188" s="37" t="n"/>
      <c r="C188" s="39" t="n"/>
    </row>
    <row r="189">
      <c r="A189" s="37" t="n"/>
      <c r="C189" s="39" t="n"/>
    </row>
    <row r="190">
      <c r="A190" s="37" t="n"/>
      <c r="C190" s="39" t="n"/>
    </row>
    <row r="191">
      <c r="A191" s="37" t="n"/>
      <c r="C191" s="39" t="n"/>
    </row>
    <row r="192">
      <c r="A192" s="37" t="n"/>
      <c r="C192" s="39" t="n"/>
    </row>
    <row r="193">
      <c r="A193" s="37" t="n"/>
      <c r="C193" s="39" t="n"/>
    </row>
    <row r="194">
      <c r="A194" s="37" t="n"/>
      <c r="C194" s="39" t="n"/>
    </row>
    <row r="195">
      <c r="A195" s="37" t="n"/>
      <c r="C195" s="39" t="n"/>
    </row>
    <row r="196">
      <c r="A196" s="37" t="n"/>
      <c r="C196" s="39" t="n"/>
    </row>
    <row r="197">
      <c r="A197" s="37" t="n"/>
      <c r="C197" s="39" t="n"/>
    </row>
    <row r="198">
      <c r="A198" s="37" t="n"/>
      <c r="C198" s="39" t="n"/>
    </row>
    <row r="199">
      <c r="A199" s="37" t="n"/>
      <c r="C199" s="39" t="n"/>
    </row>
    <row r="200">
      <c r="A200" s="37" t="n"/>
      <c r="C200" s="39" t="n"/>
    </row>
    <row r="201">
      <c r="A201" s="37" t="n"/>
      <c r="C201" s="39" t="n"/>
    </row>
    <row r="202">
      <c r="A202" s="37" t="n"/>
      <c r="C202" s="39" t="n"/>
    </row>
    <row r="203">
      <c r="A203" s="37" t="n"/>
      <c r="C203" s="39" t="n"/>
    </row>
    <row r="204">
      <c r="A204" s="37" t="n"/>
      <c r="C204" s="39" t="n"/>
    </row>
    <row r="205">
      <c r="A205" s="37" t="n"/>
      <c r="C205" s="39" t="n"/>
    </row>
    <row r="206">
      <c r="A206" s="37" t="n"/>
      <c r="C206" s="39" t="n"/>
    </row>
    <row r="207">
      <c r="A207" s="37" t="n"/>
      <c r="C207" s="39" t="n"/>
    </row>
    <row r="208">
      <c r="A208" s="37" t="n"/>
      <c r="C208" s="39" t="n"/>
    </row>
    <row r="209">
      <c r="A209" s="37" t="n"/>
      <c r="C209" s="39" t="n"/>
    </row>
    <row r="210">
      <c r="A210" s="37" t="n"/>
      <c r="C210" s="39" t="n"/>
    </row>
    <row r="211">
      <c r="A211" s="37" t="n"/>
      <c r="C211" s="39" t="n"/>
    </row>
    <row r="212">
      <c r="A212" s="37" t="n"/>
      <c r="C212" s="39" t="n"/>
    </row>
    <row r="213">
      <c r="A213" s="37" t="n"/>
      <c r="C213" s="39" t="n"/>
    </row>
    <row r="214">
      <c r="A214" s="37" t="n"/>
      <c r="C214" s="39" t="n"/>
    </row>
    <row r="215">
      <c r="A215" s="37" t="n"/>
      <c r="C215" s="39" t="n"/>
    </row>
    <row r="216">
      <c r="A216" s="37" t="n"/>
      <c r="C216" s="39" t="n"/>
    </row>
    <row r="217">
      <c r="A217" s="37" t="n"/>
      <c r="C217" s="39" t="n"/>
    </row>
    <row r="218">
      <c r="A218" s="37" t="n"/>
      <c r="C218" s="39" t="n"/>
    </row>
    <row r="219">
      <c r="A219" s="37" t="n"/>
      <c r="C219" s="39" t="n"/>
    </row>
    <row r="220">
      <c r="A220" s="37" t="n"/>
      <c r="C220" s="39" t="n"/>
    </row>
    <row r="221">
      <c r="A221" s="37" t="n"/>
      <c r="C221" s="39" t="n"/>
    </row>
    <row r="222">
      <c r="A222" s="37" t="n"/>
      <c r="C222" s="39" t="n"/>
    </row>
    <row r="223">
      <c r="A223" s="37" t="n"/>
      <c r="C223" s="39" t="n"/>
    </row>
    <row r="224">
      <c r="A224" s="37" t="n"/>
      <c r="C224" s="39" t="n"/>
    </row>
    <row r="225">
      <c r="A225" s="37" t="n"/>
      <c r="C225" s="39" t="n"/>
    </row>
    <row r="226">
      <c r="A226" s="37" t="n"/>
      <c r="C226" s="39" t="n"/>
    </row>
    <row r="227">
      <c r="A227" s="37" t="n"/>
      <c r="C227" s="39" t="n"/>
    </row>
    <row r="228">
      <c r="A228" s="37" t="n"/>
      <c r="C228" s="39" t="n"/>
    </row>
    <row r="229">
      <c r="A229" s="37" t="n"/>
      <c r="C229" s="39" t="n"/>
    </row>
    <row r="230">
      <c r="A230" s="37" t="n"/>
      <c r="C230" s="39" t="n"/>
    </row>
    <row r="231">
      <c r="A231" s="37" t="n"/>
      <c r="C231" s="39" t="n"/>
    </row>
    <row r="232">
      <c r="A232" s="37" t="n"/>
      <c r="C232" s="39" t="n"/>
    </row>
    <row r="233">
      <c r="A233" s="37" t="n"/>
      <c r="C233" s="39" t="n"/>
    </row>
    <row r="234">
      <c r="A234" s="37" t="n"/>
      <c r="C234" s="39" t="n"/>
    </row>
    <row r="235">
      <c r="A235" s="37" t="n"/>
      <c r="C235" s="39" t="n"/>
    </row>
    <row r="236">
      <c r="A236" s="37" t="n"/>
      <c r="C236" s="39" t="n"/>
    </row>
    <row r="237">
      <c r="A237" s="37" t="n"/>
      <c r="C237" s="39" t="n"/>
    </row>
    <row r="238">
      <c r="A238" s="37" t="n"/>
      <c r="C238" s="39" t="n"/>
    </row>
    <row r="239">
      <c r="A239" s="37" t="n"/>
      <c r="C239" s="39" t="n"/>
    </row>
    <row r="240">
      <c r="A240" s="37" t="n"/>
      <c r="C240" s="39" t="n"/>
    </row>
    <row r="241">
      <c r="A241" s="37" t="n"/>
      <c r="C241" s="39" t="n"/>
    </row>
    <row r="242">
      <c r="A242" s="37" t="n"/>
      <c r="C242" s="39" t="n"/>
    </row>
    <row r="243">
      <c r="A243" s="37" t="n"/>
      <c r="C243" s="39" t="n"/>
    </row>
    <row r="244">
      <c r="A244" s="37" t="n"/>
      <c r="C244" s="39" t="n"/>
    </row>
    <row r="245">
      <c r="A245" s="37" t="n"/>
      <c r="C245" s="39" t="n"/>
    </row>
    <row r="246">
      <c r="A246" s="37" t="n"/>
      <c r="C246" s="39" t="n"/>
    </row>
    <row r="247">
      <c r="A247" s="37" t="n"/>
      <c r="C247" s="39" t="n"/>
    </row>
    <row r="248">
      <c r="A248" s="37" t="n"/>
      <c r="C248" s="39" t="n"/>
    </row>
    <row r="249">
      <c r="A249" s="37" t="n"/>
      <c r="C249" s="39" t="n"/>
    </row>
    <row r="250">
      <c r="A250" s="37" t="n"/>
      <c r="C250" s="39" t="n"/>
    </row>
    <row r="251">
      <c r="A251" s="37" t="n"/>
      <c r="C251" s="39" t="n"/>
    </row>
    <row r="252">
      <c r="A252" s="37" t="n"/>
      <c r="C252" s="39" t="n"/>
    </row>
    <row r="253">
      <c r="A253" s="37" t="n"/>
      <c r="C253" s="39" t="n"/>
    </row>
    <row r="254">
      <c r="A254" s="37" t="n"/>
      <c r="C254" s="39" t="n"/>
    </row>
    <row r="255">
      <c r="A255" s="37" t="n"/>
      <c r="C255" s="39" t="n"/>
    </row>
    <row r="256">
      <c r="A256" s="37" t="n"/>
      <c r="C256" s="39" t="n"/>
    </row>
    <row r="257">
      <c r="A257" s="37" t="n"/>
      <c r="C257" s="39" t="n"/>
    </row>
    <row r="258">
      <c r="A258" s="37" t="n"/>
      <c r="C258" s="39" t="n"/>
    </row>
    <row r="259">
      <c r="A259" s="37" t="n"/>
      <c r="C259" s="39" t="n"/>
    </row>
    <row r="260">
      <c r="A260" s="37" t="n"/>
      <c r="C260" s="39" t="n"/>
    </row>
    <row r="261">
      <c r="A261" s="37" t="n"/>
      <c r="C261" s="39" t="n"/>
    </row>
    <row r="262">
      <c r="A262" s="37" t="n"/>
      <c r="C262" s="39" t="n"/>
    </row>
    <row r="263">
      <c r="A263" s="37" t="n"/>
      <c r="C263" s="39" t="n"/>
    </row>
    <row r="264">
      <c r="A264" s="37" t="n"/>
      <c r="C264" s="39" t="n"/>
    </row>
    <row r="265">
      <c r="A265" s="37" t="n"/>
      <c r="C265" s="39" t="n"/>
    </row>
    <row r="266">
      <c r="A266" s="37" t="n"/>
      <c r="C266" s="39" t="n"/>
    </row>
    <row r="267">
      <c r="A267" s="37" t="n"/>
      <c r="C267" s="39" t="n"/>
    </row>
    <row r="268">
      <c r="A268" s="37" t="n"/>
      <c r="C268" s="39" t="n"/>
    </row>
    <row r="269">
      <c r="A269" s="37" t="n"/>
      <c r="C269" s="39" t="n"/>
    </row>
    <row r="270">
      <c r="A270" s="37" t="n"/>
      <c r="C270" s="39" t="n"/>
    </row>
    <row r="271">
      <c r="A271" s="37" t="n"/>
      <c r="C271" s="39" t="n"/>
    </row>
    <row r="272">
      <c r="A272" s="37" t="n"/>
      <c r="C272" s="39" t="n"/>
    </row>
    <row r="273">
      <c r="A273" s="37" t="n"/>
      <c r="C273" s="39" t="n"/>
    </row>
    <row r="274">
      <c r="A274" s="37" t="n"/>
      <c r="C274" s="39" t="n"/>
    </row>
    <row r="275">
      <c r="A275" s="37" t="n"/>
      <c r="C275" s="39" t="n"/>
    </row>
    <row r="276">
      <c r="A276" s="37" t="n"/>
      <c r="C276" s="39" t="n"/>
    </row>
    <row r="277">
      <c r="A277" s="37" t="n"/>
      <c r="C277" s="39" t="n"/>
    </row>
    <row r="278">
      <c r="A278" s="37" t="n"/>
      <c r="C278" s="39" t="n"/>
    </row>
    <row r="279">
      <c r="A279" s="37" t="n"/>
      <c r="C279" s="39" t="n"/>
    </row>
    <row r="280">
      <c r="A280" s="37" t="n"/>
      <c r="C280" s="39" t="n"/>
    </row>
    <row r="281">
      <c r="A281" s="37" t="n"/>
      <c r="C281" s="39" t="n"/>
    </row>
    <row r="282">
      <c r="A282" s="37" t="n"/>
      <c r="C282" s="39" t="n"/>
    </row>
    <row r="283">
      <c r="A283" s="37" t="n"/>
      <c r="C283" s="39" t="n"/>
    </row>
    <row r="284">
      <c r="A284" s="37" t="n"/>
      <c r="C284" s="39" t="n"/>
    </row>
    <row r="285">
      <c r="A285" s="37" t="n"/>
      <c r="C285" s="39" t="n"/>
    </row>
    <row r="286">
      <c r="A286" s="37" t="n"/>
      <c r="C286" s="39" t="n"/>
    </row>
    <row r="287">
      <c r="A287" s="37" t="n"/>
      <c r="C287" s="39" t="n"/>
    </row>
    <row r="288">
      <c r="A288" s="37" t="n"/>
      <c r="C288" s="39" t="n"/>
    </row>
    <row r="289">
      <c r="A289" s="37" t="n"/>
      <c r="C289" s="39" t="n"/>
    </row>
    <row r="290">
      <c r="A290" s="37" t="n"/>
      <c r="C290" s="39" t="n"/>
    </row>
    <row r="291">
      <c r="A291" s="37" t="n"/>
      <c r="C291" s="39" t="n"/>
    </row>
    <row r="292">
      <c r="A292" s="37" t="n"/>
      <c r="C292" s="39" t="n"/>
    </row>
    <row r="293">
      <c r="A293" s="37" t="n"/>
      <c r="C293" s="39" t="n"/>
    </row>
    <row r="294">
      <c r="A294" s="37" t="n"/>
      <c r="C294" s="39" t="n"/>
    </row>
    <row r="295">
      <c r="A295" s="37" t="n"/>
      <c r="C295" s="39" t="n"/>
    </row>
    <row r="296">
      <c r="A296" s="37" t="n"/>
      <c r="C296" s="39" t="n"/>
    </row>
    <row r="297">
      <c r="A297" s="37" t="n"/>
      <c r="C297" s="39" t="n"/>
    </row>
    <row r="298">
      <c r="A298" s="37" t="n"/>
      <c r="C298" s="39" t="n"/>
    </row>
    <row r="299">
      <c r="A299" s="37" t="n"/>
      <c r="C299" s="39" t="n"/>
    </row>
    <row r="300">
      <c r="A300" s="37" t="n"/>
      <c r="C300" s="39" t="n"/>
    </row>
    <row r="301">
      <c r="A301" s="37" t="n"/>
      <c r="C301" s="39" t="n"/>
    </row>
    <row r="302">
      <c r="A302" s="37" t="n"/>
      <c r="C302" s="39" t="n"/>
    </row>
    <row r="303">
      <c r="A303" s="37" t="n"/>
      <c r="C303" s="39" t="n"/>
    </row>
    <row r="304">
      <c r="A304" s="37" t="n"/>
      <c r="C304" s="39" t="n"/>
    </row>
    <row r="305">
      <c r="A305" s="37" t="n"/>
      <c r="C305" s="39" t="n"/>
    </row>
    <row r="306">
      <c r="A306" s="37" t="n"/>
      <c r="C306" s="39" t="n"/>
    </row>
    <row r="307">
      <c r="A307" s="37" t="n"/>
      <c r="C307" s="39" t="n"/>
    </row>
    <row r="308">
      <c r="A308" s="37" t="n"/>
      <c r="C308" s="39" t="n"/>
    </row>
    <row r="309">
      <c r="A309" s="37" t="n"/>
      <c r="C309" s="39" t="n"/>
    </row>
    <row r="310">
      <c r="A310" s="37" t="n"/>
      <c r="C310" s="39" t="n"/>
    </row>
    <row r="311">
      <c r="A311" s="37" t="n"/>
      <c r="C311" s="39" t="n"/>
    </row>
    <row r="312">
      <c r="A312" s="37" t="n"/>
      <c r="C312" s="39" t="n"/>
    </row>
    <row r="313">
      <c r="A313" s="37" t="n"/>
      <c r="C313" s="39" t="n"/>
    </row>
    <row r="314">
      <c r="A314" s="37" t="n"/>
      <c r="C314" s="39" t="n"/>
    </row>
    <row r="315">
      <c r="A315" s="37" t="n"/>
      <c r="C315" s="39" t="n"/>
    </row>
    <row r="316">
      <c r="A316" s="37" t="n"/>
      <c r="C316" s="39" t="n"/>
    </row>
    <row r="317">
      <c r="A317" s="37" t="n"/>
      <c r="C317" s="39" t="n"/>
    </row>
    <row r="318">
      <c r="A318" s="37" t="n"/>
      <c r="C318" s="39" t="n"/>
    </row>
    <row r="319">
      <c r="A319" s="37" t="n"/>
      <c r="C319" s="39" t="n"/>
    </row>
    <row r="320">
      <c r="A320" s="37" t="n"/>
      <c r="C320" s="39" t="n"/>
    </row>
    <row r="321">
      <c r="A321" s="37" t="n"/>
      <c r="C321" s="39" t="n"/>
    </row>
    <row r="322">
      <c r="A322" s="37" t="n"/>
      <c r="C322" s="39" t="n"/>
    </row>
    <row r="323">
      <c r="A323" s="37" t="n"/>
      <c r="C323" s="39" t="n"/>
    </row>
    <row r="324">
      <c r="A324" s="37" t="n"/>
      <c r="C324" s="39" t="n"/>
    </row>
    <row r="325">
      <c r="A325" s="37" t="n"/>
      <c r="C325" s="39" t="n"/>
    </row>
    <row r="326">
      <c r="A326" s="37" t="n"/>
      <c r="C326" s="39" t="n"/>
    </row>
    <row r="327">
      <c r="A327" s="37" t="n"/>
      <c r="C327" s="39" t="n"/>
    </row>
    <row r="328">
      <c r="A328" s="37" t="n"/>
      <c r="C328" s="39" t="n"/>
    </row>
    <row r="329">
      <c r="A329" s="37" t="n"/>
      <c r="C329" s="39" t="n"/>
    </row>
    <row r="330">
      <c r="A330" s="37" t="n"/>
      <c r="C330" s="39" t="n"/>
    </row>
    <row r="331">
      <c r="A331" s="37" t="n"/>
      <c r="C331" s="39" t="n"/>
    </row>
    <row r="332">
      <c r="A332" s="37" t="n"/>
      <c r="C332" s="39" t="n"/>
    </row>
    <row r="333">
      <c r="A333" s="37" t="n"/>
      <c r="C333" s="39" t="n"/>
    </row>
    <row r="334">
      <c r="A334" s="37" t="n"/>
      <c r="C334" s="39" t="n"/>
    </row>
    <row r="335">
      <c r="A335" s="37" t="n"/>
      <c r="C335" s="39" t="n"/>
    </row>
    <row r="336">
      <c r="A336" s="37" t="n"/>
      <c r="C336" s="39" t="n"/>
    </row>
    <row r="337">
      <c r="A337" s="37" t="n"/>
      <c r="C337" s="39" t="n"/>
    </row>
    <row r="338">
      <c r="A338" s="37" t="n"/>
      <c r="C338" s="39" t="n"/>
    </row>
    <row r="339">
      <c r="A339" s="37" t="n"/>
      <c r="C339" s="39" t="n"/>
    </row>
    <row r="340">
      <c r="A340" s="37" t="n"/>
      <c r="C340" s="39" t="n"/>
    </row>
    <row r="341">
      <c r="A341" s="37" t="n"/>
      <c r="C341" s="39" t="n"/>
    </row>
    <row r="342">
      <c r="A342" s="37" t="n"/>
      <c r="C342" s="39" t="n"/>
    </row>
    <row r="343">
      <c r="A343" s="37" t="n"/>
      <c r="C343" s="39" t="n"/>
    </row>
    <row r="344">
      <c r="A344" s="37" t="n"/>
      <c r="C344" s="39" t="n"/>
    </row>
    <row r="345">
      <c r="A345" s="37" t="n"/>
      <c r="C345" s="39" t="n"/>
    </row>
    <row r="346">
      <c r="A346" s="37" t="n"/>
      <c r="C346" s="39" t="n"/>
    </row>
    <row r="347">
      <c r="A347" s="37" t="n"/>
      <c r="C347" s="39" t="n"/>
    </row>
    <row r="348">
      <c r="A348" s="37" t="n"/>
      <c r="C348" s="39" t="n"/>
    </row>
    <row r="349">
      <c r="A349" s="37" t="n"/>
      <c r="C349" s="39" t="n"/>
    </row>
    <row r="350">
      <c r="A350" s="37" t="n"/>
      <c r="C350" s="39" t="n"/>
    </row>
    <row r="351">
      <c r="A351" s="37" t="n"/>
      <c r="C351" s="39" t="n"/>
    </row>
    <row r="352">
      <c r="A352" s="37" t="n"/>
      <c r="C352" s="39" t="n"/>
    </row>
    <row r="353">
      <c r="A353" s="37" t="n"/>
      <c r="C353" s="39" t="n"/>
    </row>
    <row r="354">
      <c r="A354" s="37" t="n"/>
      <c r="C354" s="39" t="n"/>
    </row>
    <row r="355">
      <c r="A355" s="37" t="n"/>
      <c r="C355" s="39" t="n"/>
    </row>
    <row r="356">
      <c r="A356" s="37" t="n"/>
      <c r="C356" s="39" t="n"/>
    </row>
    <row r="357">
      <c r="A357" s="37" t="n"/>
      <c r="C357" s="39" t="n"/>
    </row>
    <row r="358">
      <c r="A358" s="37" t="n"/>
      <c r="C358" s="39" t="n"/>
    </row>
    <row r="359">
      <c r="A359" s="37" t="n"/>
      <c r="C359" s="39" t="n"/>
    </row>
    <row r="360">
      <c r="A360" s="37" t="n"/>
      <c r="C360" s="39" t="n"/>
    </row>
    <row r="361">
      <c r="A361" s="37" t="n"/>
      <c r="C361" s="39" t="n"/>
    </row>
    <row r="362">
      <c r="A362" s="37" t="n"/>
      <c r="C362" s="39" t="n"/>
    </row>
    <row r="363">
      <c r="A363" s="37" t="n"/>
      <c r="C363" s="39" t="n"/>
    </row>
    <row r="364">
      <c r="A364" s="37" t="n"/>
      <c r="C364" s="39" t="n"/>
    </row>
    <row r="365">
      <c r="A365" s="37" t="n"/>
      <c r="C365" s="39" t="n"/>
    </row>
    <row r="366">
      <c r="A366" s="37" t="n"/>
      <c r="C366" s="39" t="n"/>
    </row>
    <row r="367">
      <c r="A367" s="37" t="n"/>
      <c r="C367" s="39" t="n"/>
    </row>
    <row r="368">
      <c r="A368" s="37" t="n"/>
      <c r="C368" s="39" t="n"/>
    </row>
    <row r="369">
      <c r="A369" s="37" t="n"/>
      <c r="C369" s="39" t="n"/>
    </row>
    <row r="370">
      <c r="A370" s="37" t="n"/>
      <c r="C370" s="39" t="n"/>
    </row>
    <row r="371">
      <c r="A371" s="37" t="n"/>
      <c r="C371" s="39" t="n"/>
    </row>
    <row r="372">
      <c r="A372" s="37" t="n"/>
      <c r="C372" s="39" t="n"/>
    </row>
    <row r="373">
      <c r="A373" s="37" t="n"/>
      <c r="C373" s="39" t="n"/>
    </row>
    <row r="374">
      <c r="A374" s="37" t="n"/>
      <c r="C374" s="39" t="n"/>
    </row>
    <row r="375">
      <c r="A375" s="37" t="n"/>
      <c r="C375" s="39" t="n"/>
    </row>
    <row r="376">
      <c r="A376" s="37" t="n"/>
      <c r="C376" s="39" t="n"/>
    </row>
    <row r="377">
      <c r="A377" s="37" t="n"/>
      <c r="C377" s="39" t="n"/>
    </row>
    <row r="378">
      <c r="A378" s="37" t="n"/>
      <c r="C378" s="39" t="n"/>
    </row>
    <row r="379">
      <c r="A379" s="37" t="n"/>
      <c r="C379" s="39" t="n"/>
    </row>
    <row r="380">
      <c r="A380" s="37" t="n"/>
      <c r="C380" s="39" t="n"/>
    </row>
    <row r="381">
      <c r="A381" s="37" t="n"/>
      <c r="C381" s="39" t="n"/>
    </row>
    <row r="382">
      <c r="A382" s="37" t="n"/>
      <c r="C382" s="39" t="n"/>
    </row>
    <row r="383">
      <c r="A383" s="37" t="n"/>
      <c r="C383" s="39" t="n"/>
    </row>
    <row r="384">
      <c r="A384" s="37" t="n"/>
      <c r="C384" s="39" t="n"/>
    </row>
    <row r="385">
      <c r="A385" s="37" t="n"/>
      <c r="C385" s="39" t="n"/>
    </row>
    <row r="386">
      <c r="A386" s="37" t="n"/>
      <c r="C386" s="39" t="n"/>
    </row>
    <row r="387">
      <c r="A387" s="37" t="n"/>
      <c r="C387" s="39" t="n"/>
    </row>
    <row r="388">
      <c r="A388" s="37" t="n"/>
      <c r="C388" s="39" t="n"/>
    </row>
    <row r="389">
      <c r="A389" s="37" t="n"/>
      <c r="C389" s="39" t="n"/>
    </row>
    <row r="390">
      <c r="A390" s="37" t="n"/>
      <c r="C390" s="39" t="n"/>
    </row>
    <row r="391">
      <c r="A391" s="37" t="n"/>
      <c r="C391" s="39" t="n"/>
    </row>
    <row r="392">
      <c r="A392" s="37" t="n"/>
      <c r="C392" s="39" t="n"/>
    </row>
    <row r="393">
      <c r="A393" s="37" t="n"/>
      <c r="C393" s="39" t="n"/>
    </row>
    <row r="394">
      <c r="A394" s="37" t="n"/>
      <c r="C394" s="39" t="n"/>
    </row>
    <row r="395">
      <c r="A395" s="37" t="n"/>
      <c r="C395" s="39" t="n"/>
    </row>
    <row r="396">
      <c r="A396" s="37" t="n"/>
      <c r="C396" s="39" t="n"/>
    </row>
    <row r="397">
      <c r="A397" s="37" t="n"/>
      <c r="C397" s="39" t="n"/>
    </row>
    <row r="398">
      <c r="A398" s="37" t="n"/>
      <c r="C398" s="39" t="n"/>
    </row>
    <row r="399">
      <c r="A399" s="37" t="n"/>
      <c r="C399" s="39" t="n"/>
    </row>
    <row r="400">
      <c r="A400" s="37" t="n"/>
      <c r="C400" s="39" t="n"/>
    </row>
    <row r="401">
      <c r="A401" s="37" t="n"/>
      <c r="C401" s="39" t="n"/>
    </row>
    <row r="402">
      <c r="A402" s="37" t="n"/>
      <c r="C402" s="39" t="n"/>
    </row>
    <row r="403">
      <c r="A403" s="37" t="n"/>
      <c r="C403" s="39" t="n"/>
    </row>
    <row r="404">
      <c r="A404" s="37" t="n"/>
      <c r="C404" s="39" t="n"/>
    </row>
    <row r="405">
      <c r="A405" s="37" t="n"/>
      <c r="C405" s="39" t="n"/>
    </row>
    <row r="406">
      <c r="A406" s="37" t="n"/>
      <c r="C406" s="39" t="n"/>
    </row>
    <row r="407">
      <c r="A407" s="37" t="n"/>
      <c r="C407" s="39" t="n"/>
    </row>
    <row r="408">
      <c r="A408" s="37" t="n"/>
      <c r="C408" s="39" t="n"/>
    </row>
    <row r="409">
      <c r="A409" s="37" t="n"/>
      <c r="C409" s="39" t="n"/>
    </row>
    <row r="410">
      <c r="A410" s="37" t="n"/>
      <c r="C410" s="39" t="n"/>
    </row>
    <row r="411">
      <c r="A411" s="37" t="n"/>
      <c r="C411" s="39" t="n"/>
    </row>
    <row r="412">
      <c r="A412" s="37" t="n"/>
      <c r="C412" s="39" t="n"/>
    </row>
    <row r="413">
      <c r="A413" s="37" t="n"/>
      <c r="C413" s="39" t="n"/>
    </row>
    <row r="414">
      <c r="A414" s="37" t="n"/>
      <c r="C414" s="39" t="n"/>
    </row>
    <row r="415">
      <c r="A415" s="37" t="n"/>
      <c r="C415" s="39" t="n"/>
    </row>
    <row r="416">
      <c r="A416" s="37" t="n"/>
      <c r="C416" s="39" t="n"/>
    </row>
    <row r="417">
      <c r="A417" s="37" t="n"/>
      <c r="C417" s="39" t="n"/>
    </row>
    <row r="418">
      <c r="A418" s="37" t="n"/>
      <c r="C418" s="39" t="n"/>
    </row>
    <row r="419">
      <c r="A419" s="37" t="n"/>
      <c r="C419" s="39" t="n"/>
    </row>
    <row r="420">
      <c r="A420" s="37" t="n"/>
      <c r="C420" s="39" t="n"/>
    </row>
    <row r="421">
      <c r="A421" s="37" t="n"/>
      <c r="C421" s="39" t="n"/>
    </row>
    <row r="422">
      <c r="A422" s="37" t="n"/>
      <c r="C422" s="39" t="n"/>
    </row>
    <row r="423">
      <c r="A423" s="37" t="n"/>
      <c r="C423" s="39" t="n"/>
    </row>
    <row r="424">
      <c r="A424" s="37" t="n"/>
      <c r="C424" s="39" t="n"/>
    </row>
    <row r="425">
      <c r="A425" s="37" t="n"/>
      <c r="C425" s="39" t="n"/>
    </row>
    <row r="426">
      <c r="A426" s="37" t="n"/>
      <c r="C426" s="39" t="n"/>
    </row>
    <row r="427">
      <c r="A427" s="37" t="n"/>
      <c r="C427" s="39" t="n"/>
    </row>
    <row r="428">
      <c r="A428" s="37" t="n"/>
      <c r="C428" s="39" t="n"/>
    </row>
    <row r="429">
      <c r="A429" s="37" t="n"/>
      <c r="C429" s="39" t="n"/>
    </row>
    <row r="430">
      <c r="A430" s="37" t="n"/>
      <c r="C430" s="39" t="n"/>
    </row>
    <row r="431">
      <c r="A431" s="37" t="n"/>
      <c r="C431" s="39" t="n"/>
    </row>
    <row r="432">
      <c r="A432" s="37" t="n"/>
      <c r="C432" s="39" t="n"/>
    </row>
    <row r="433">
      <c r="A433" s="37" t="n"/>
      <c r="C433" s="39" t="n"/>
    </row>
    <row r="434">
      <c r="A434" s="37" t="n"/>
      <c r="C434" s="39" t="n"/>
    </row>
    <row r="435">
      <c r="A435" s="37" t="n"/>
      <c r="C435" s="39" t="n"/>
    </row>
    <row r="436">
      <c r="A436" s="37" t="n"/>
      <c r="C436" s="39" t="n"/>
    </row>
    <row r="437">
      <c r="A437" s="37" t="n"/>
      <c r="C437" s="39" t="n"/>
    </row>
    <row r="438">
      <c r="A438" s="37" t="n"/>
      <c r="C438" s="39" t="n"/>
    </row>
    <row r="439">
      <c r="A439" s="37" t="n"/>
      <c r="C439" s="39" t="n"/>
    </row>
    <row r="440">
      <c r="A440" s="37" t="n"/>
      <c r="C440" s="39" t="n"/>
    </row>
    <row r="441">
      <c r="A441" s="37" t="n"/>
      <c r="C441" s="39" t="n"/>
    </row>
    <row r="442">
      <c r="A442" s="37" t="n"/>
      <c r="C442" s="39" t="n"/>
    </row>
    <row r="443">
      <c r="A443" s="37" t="n"/>
      <c r="C443" s="39" t="n"/>
    </row>
    <row r="444">
      <c r="A444" s="37" t="n"/>
      <c r="C444" s="39" t="n"/>
    </row>
    <row r="445">
      <c r="A445" s="37" t="n"/>
      <c r="C445" s="39" t="n"/>
    </row>
    <row r="446">
      <c r="A446" s="37" t="n"/>
      <c r="C446" s="39" t="n"/>
    </row>
    <row r="447">
      <c r="A447" s="37" t="n"/>
      <c r="C447" s="39" t="n"/>
    </row>
    <row r="448">
      <c r="A448" s="37" t="n"/>
      <c r="C448" s="39" t="n"/>
    </row>
    <row r="449">
      <c r="A449" s="37" t="n"/>
      <c r="C449" s="39" t="n"/>
    </row>
    <row r="450">
      <c r="A450" s="37" t="n"/>
      <c r="C450" s="39" t="n"/>
    </row>
    <row r="451">
      <c r="A451" s="37" t="n"/>
      <c r="C451" s="39" t="n"/>
    </row>
    <row r="452">
      <c r="A452" s="37" t="n"/>
      <c r="C452" s="39" t="n"/>
    </row>
    <row r="453">
      <c r="A453" s="37" t="n"/>
      <c r="C453" s="39" t="n"/>
    </row>
    <row r="454">
      <c r="A454" s="37" t="n"/>
      <c r="C454" s="39" t="n"/>
    </row>
    <row r="455">
      <c r="A455" s="37" t="n"/>
      <c r="C455" s="39" t="n"/>
    </row>
    <row r="456">
      <c r="A456" s="37" t="n"/>
      <c r="C456" s="39" t="n"/>
    </row>
    <row r="457">
      <c r="A457" s="37" t="n"/>
      <c r="C457" s="39" t="n"/>
    </row>
    <row r="458">
      <c r="A458" s="37" t="n"/>
      <c r="C458" s="39" t="n"/>
    </row>
    <row r="459">
      <c r="A459" s="37" t="n"/>
      <c r="C459" s="39" t="n"/>
    </row>
    <row r="460">
      <c r="A460" s="37" t="n"/>
      <c r="C460" s="39" t="n"/>
    </row>
    <row r="461">
      <c r="A461" s="37" t="n"/>
      <c r="C461" s="39" t="n"/>
    </row>
    <row r="462">
      <c r="A462" s="37" t="n"/>
      <c r="C462" s="39" t="n"/>
    </row>
    <row r="463">
      <c r="A463" s="37" t="n"/>
      <c r="C463" s="39" t="n"/>
    </row>
    <row r="464">
      <c r="A464" s="37" t="n"/>
      <c r="C464" s="39" t="n"/>
    </row>
    <row r="465">
      <c r="A465" s="37" t="n"/>
      <c r="C465" s="39" t="n"/>
    </row>
    <row r="466">
      <c r="A466" s="37" t="n"/>
      <c r="C466" s="39" t="n"/>
    </row>
    <row r="467">
      <c r="A467" s="37" t="n"/>
      <c r="C467" s="39" t="n"/>
    </row>
    <row r="468">
      <c r="A468" s="37" t="n"/>
      <c r="C468" s="39" t="n"/>
    </row>
    <row r="469">
      <c r="A469" s="37" t="n"/>
      <c r="C469" s="39" t="n"/>
    </row>
    <row r="470">
      <c r="A470" s="37" t="n"/>
      <c r="C470" s="39" t="n"/>
    </row>
    <row r="471">
      <c r="A471" s="37" t="n"/>
      <c r="C471" s="39" t="n"/>
    </row>
    <row r="472">
      <c r="A472" s="37" t="n"/>
      <c r="C472" s="39" t="n"/>
    </row>
    <row r="473">
      <c r="A473" s="37" t="n"/>
      <c r="C473" s="39" t="n"/>
    </row>
    <row r="474">
      <c r="A474" s="37" t="n"/>
      <c r="C474" s="39" t="n"/>
    </row>
    <row r="475">
      <c r="A475" s="37" t="n"/>
      <c r="C475" s="39" t="n"/>
    </row>
    <row r="476">
      <c r="A476" s="37" t="n"/>
      <c r="C476" s="39" t="n"/>
    </row>
    <row r="477">
      <c r="A477" s="37" t="n"/>
      <c r="C477" s="39" t="n"/>
    </row>
    <row r="478">
      <c r="A478" s="37" t="n"/>
      <c r="C478" s="39" t="n"/>
    </row>
    <row r="479">
      <c r="A479" s="37" t="n"/>
      <c r="C479" s="39" t="n"/>
    </row>
    <row r="480">
      <c r="A480" s="37" t="n"/>
      <c r="C480" s="39" t="n"/>
    </row>
    <row r="481">
      <c r="A481" s="37" t="n"/>
      <c r="C481" s="39" t="n"/>
    </row>
    <row r="482">
      <c r="A482" s="37" t="n"/>
      <c r="C482" s="39" t="n"/>
    </row>
    <row r="483">
      <c r="A483" s="37" t="n"/>
      <c r="C483" s="39" t="n"/>
    </row>
    <row r="484">
      <c r="A484" s="37" t="n"/>
      <c r="C484" s="39" t="n"/>
    </row>
    <row r="485">
      <c r="A485" s="37" t="n"/>
      <c r="C485" s="39" t="n"/>
    </row>
    <row r="486">
      <c r="A486" s="37" t="n"/>
      <c r="C486" s="39" t="n"/>
    </row>
    <row r="487">
      <c r="A487" s="37" t="n"/>
      <c r="C487" s="39" t="n"/>
    </row>
    <row r="488">
      <c r="A488" s="37" t="n"/>
      <c r="C488" s="39" t="n"/>
    </row>
    <row r="489">
      <c r="A489" s="37" t="n"/>
      <c r="C489" s="39" t="n"/>
    </row>
    <row r="490">
      <c r="A490" s="37" t="n"/>
      <c r="C490" s="39" t="n"/>
    </row>
    <row r="491">
      <c r="A491" s="37" t="n"/>
      <c r="C491" s="39" t="n"/>
    </row>
    <row r="492">
      <c r="A492" s="37" t="n"/>
      <c r="C492" s="39" t="n"/>
    </row>
    <row r="493">
      <c r="A493" s="37" t="n"/>
      <c r="C493" s="39" t="n"/>
    </row>
    <row r="494">
      <c r="A494" s="37" t="n"/>
      <c r="C494" s="39" t="n"/>
    </row>
    <row r="495">
      <c r="A495" s="37" t="n"/>
      <c r="C495" s="39" t="n"/>
    </row>
    <row r="496">
      <c r="A496" s="37" t="n"/>
      <c r="C496" s="39" t="n"/>
    </row>
    <row r="497">
      <c r="A497" s="37" t="n"/>
      <c r="C497" s="39" t="n"/>
    </row>
    <row r="498">
      <c r="A498" s="37" t="n"/>
      <c r="C498" s="39" t="n"/>
    </row>
    <row r="499">
      <c r="A499" s="37" t="n"/>
      <c r="C499" s="39" t="n"/>
    </row>
    <row r="500">
      <c r="A500" s="37" t="n"/>
      <c r="C500" s="39" t="n"/>
    </row>
    <row r="501">
      <c r="A501" s="37" t="n"/>
      <c r="C501" s="39" t="n"/>
    </row>
    <row r="502">
      <c r="A502" s="37" t="n"/>
      <c r="C502" s="39" t="n"/>
    </row>
    <row r="503">
      <c r="A503" s="37" t="n"/>
      <c r="C503" s="39" t="n"/>
    </row>
    <row r="504">
      <c r="A504" s="37" t="n"/>
      <c r="C504" s="39" t="n"/>
    </row>
    <row r="505">
      <c r="A505" s="37" t="n"/>
      <c r="C505" s="39" t="n"/>
    </row>
    <row r="506">
      <c r="A506" s="37" t="n"/>
      <c r="C506" s="39" t="n"/>
    </row>
    <row r="507">
      <c r="A507" s="37" t="n"/>
      <c r="C507" s="39" t="n"/>
    </row>
    <row r="508">
      <c r="A508" s="37" t="n"/>
      <c r="C508" s="39" t="n"/>
    </row>
    <row r="509">
      <c r="A509" s="37" t="n"/>
      <c r="C509" s="39" t="n"/>
    </row>
    <row r="510">
      <c r="A510" s="37" t="n"/>
      <c r="C510" s="39" t="n"/>
    </row>
    <row r="511">
      <c r="A511" s="37" t="n"/>
      <c r="C511" s="39" t="n"/>
    </row>
    <row r="512">
      <c r="A512" s="37" t="n"/>
      <c r="C512" s="39" t="n"/>
    </row>
    <row r="513">
      <c r="A513" s="37" t="n"/>
      <c r="C513" s="39" t="n"/>
    </row>
    <row r="514">
      <c r="A514" s="37" t="n"/>
      <c r="C514" s="39" t="n"/>
    </row>
    <row r="515">
      <c r="A515" s="37" t="n"/>
      <c r="C515" s="39" t="n"/>
    </row>
    <row r="516">
      <c r="A516" s="37" t="n"/>
      <c r="C516" s="39" t="n"/>
    </row>
    <row r="517">
      <c r="A517" s="37" t="n"/>
      <c r="C517" s="39" t="n"/>
    </row>
    <row r="518">
      <c r="A518" s="37" t="n"/>
      <c r="C518" s="39" t="n"/>
    </row>
    <row r="519">
      <c r="A519" s="37" t="n"/>
      <c r="C519" s="39" t="n"/>
    </row>
    <row r="520">
      <c r="A520" s="37" t="n"/>
      <c r="C520" s="39" t="n"/>
    </row>
    <row r="521">
      <c r="A521" s="37" t="n"/>
      <c r="C521" s="39" t="n"/>
    </row>
    <row r="522">
      <c r="A522" s="37" t="n"/>
      <c r="C522" s="39" t="n"/>
    </row>
    <row r="523">
      <c r="A523" s="37" t="n"/>
      <c r="C523" s="39" t="n"/>
    </row>
    <row r="524">
      <c r="A524" s="37" t="n"/>
      <c r="C524" s="39" t="n"/>
    </row>
    <row r="525">
      <c r="A525" s="37" t="n"/>
      <c r="C525" s="39" t="n"/>
    </row>
    <row r="526">
      <c r="A526" s="37" t="n"/>
      <c r="C526" s="39" t="n"/>
    </row>
    <row r="527">
      <c r="A527" s="37" t="n"/>
      <c r="C527" s="39" t="n"/>
    </row>
    <row r="528">
      <c r="A528" s="37" t="n"/>
      <c r="C528" s="39" t="n"/>
    </row>
    <row r="529">
      <c r="A529" s="37" t="n"/>
      <c r="C529" s="39" t="n"/>
    </row>
    <row r="530">
      <c r="A530" s="37" t="n"/>
      <c r="C530" s="39" t="n"/>
    </row>
    <row r="531">
      <c r="A531" s="37" t="n"/>
      <c r="C531" s="39" t="n"/>
    </row>
    <row r="532">
      <c r="A532" s="37" t="n"/>
      <c r="C532" s="39" t="n"/>
    </row>
    <row r="533">
      <c r="A533" s="37" t="n"/>
      <c r="C533" s="39" t="n"/>
    </row>
    <row r="534">
      <c r="A534" s="37" t="n"/>
      <c r="C534" s="39" t="n"/>
    </row>
    <row r="535">
      <c r="A535" s="37" t="n"/>
      <c r="C535" s="39" t="n"/>
    </row>
    <row r="536">
      <c r="A536" s="37" t="n"/>
      <c r="C536" s="39" t="n"/>
    </row>
    <row r="537">
      <c r="A537" s="37" t="n"/>
      <c r="C537" s="39" t="n"/>
    </row>
    <row r="538">
      <c r="A538" s="37" t="n"/>
      <c r="C538" s="39" t="n"/>
    </row>
    <row r="539">
      <c r="A539" s="37" t="n"/>
      <c r="C539" s="39" t="n"/>
    </row>
    <row r="540">
      <c r="A540" s="37" t="n"/>
      <c r="C540" s="39" t="n"/>
    </row>
    <row r="541">
      <c r="A541" s="37" t="n"/>
      <c r="C541" s="39" t="n"/>
    </row>
    <row r="542">
      <c r="A542" s="37" t="n"/>
      <c r="C542" s="39" t="n"/>
    </row>
    <row r="543">
      <c r="A543" s="37" t="n"/>
      <c r="C543" s="39" t="n"/>
    </row>
    <row r="544">
      <c r="A544" s="37" t="n"/>
      <c r="C544" s="39" t="n"/>
    </row>
    <row r="545">
      <c r="A545" s="37" t="n"/>
      <c r="C545" s="39" t="n"/>
    </row>
    <row r="546">
      <c r="A546" s="37" t="n"/>
      <c r="C546" s="39" t="n"/>
    </row>
    <row r="547">
      <c r="A547" s="37" t="n"/>
      <c r="C547" s="39" t="n"/>
    </row>
    <row r="548">
      <c r="A548" s="37" t="n"/>
      <c r="C548" s="39" t="n"/>
    </row>
    <row r="549">
      <c r="A549" s="37" t="n"/>
      <c r="C549" s="39" t="n"/>
    </row>
    <row r="550">
      <c r="A550" s="37" t="n"/>
      <c r="C550" s="39" t="n"/>
    </row>
    <row r="551">
      <c r="A551" s="37" t="n"/>
      <c r="C551" s="39" t="n"/>
    </row>
    <row r="552">
      <c r="A552" s="37" t="n"/>
      <c r="C552" s="39" t="n"/>
    </row>
    <row r="553">
      <c r="A553" s="37" t="n"/>
      <c r="C553" s="39" t="n"/>
    </row>
    <row r="554">
      <c r="A554" s="37" t="n"/>
      <c r="C554" s="39" t="n"/>
    </row>
    <row r="555">
      <c r="A555" s="37" t="n"/>
      <c r="C555" s="39" t="n"/>
    </row>
    <row r="556">
      <c r="A556" s="37" t="n"/>
      <c r="C556" s="39" t="n"/>
    </row>
    <row r="557">
      <c r="A557" s="37" t="n"/>
      <c r="C557" s="39" t="n"/>
    </row>
    <row r="558">
      <c r="A558" s="37" t="n"/>
      <c r="C558" s="39" t="n"/>
    </row>
    <row r="559">
      <c r="A559" s="37" t="n"/>
      <c r="C559" s="39" t="n"/>
    </row>
    <row r="560">
      <c r="A560" s="37" t="n"/>
      <c r="C560" s="39" t="n"/>
    </row>
    <row r="561">
      <c r="A561" s="37" t="n"/>
      <c r="C561" s="39" t="n"/>
    </row>
    <row r="562">
      <c r="A562" s="37" t="n"/>
      <c r="C562" s="39" t="n"/>
    </row>
    <row r="563">
      <c r="A563" s="37" t="n"/>
      <c r="C563" s="39" t="n"/>
    </row>
    <row r="564">
      <c r="A564" s="37" t="n"/>
      <c r="C564" s="39" t="n"/>
    </row>
    <row r="565">
      <c r="A565" s="37" t="n"/>
      <c r="C565" s="39" t="n"/>
    </row>
    <row r="566">
      <c r="A566" s="37" t="n"/>
      <c r="C566" s="39" t="n"/>
    </row>
    <row r="567">
      <c r="A567" s="37" t="n"/>
      <c r="C567" s="39" t="n"/>
    </row>
    <row r="568">
      <c r="A568" s="37" t="n"/>
      <c r="C568" s="39" t="n"/>
    </row>
    <row r="569">
      <c r="A569" s="37" t="n"/>
      <c r="C569" s="39" t="n"/>
    </row>
    <row r="570">
      <c r="A570" s="37" t="n"/>
      <c r="C570" s="39" t="n"/>
    </row>
    <row r="571">
      <c r="A571" s="37" t="n"/>
      <c r="C571" s="39" t="n"/>
    </row>
    <row r="572">
      <c r="A572" s="37" t="n"/>
      <c r="C572" s="39" t="n"/>
    </row>
    <row r="573">
      <c r="A573" s="37" t="n"/>
      <c r="C573" s="39" t="n"/>
    </row>
    <row r="574">
      <c r="A574" s="37" t="n"/>
      <c r="C574" s="39" t="n"/>
    </row>
    <row r="575">
      <c r="A575" s="37" t="n"/>
      <c r="C575" s="39" t="n"/>
    </row>
    <row r="576">
      <c r="A576" s="37" t="n"/>
      <c r="C576" s="39" t="n"/>
    </row>
    <row r="577">
      <c r="A577" s="37" t="n"/>
      <c r="C577" s="39" t="n"/>
    </row>
    <row r="578">
      <c r="A578" s="37" t="n"/>
      <c r="C578" s="39" t="n"/>
    </row>
    <row r="579">
      <c r="A579" s="37" t="n"/>
      <c r="C579" s="39" t="n"/>
    </row>
    <row r="580">
      <c r="A580" s="37" t="n"/>
      <c r="C580" s="39" t="n"/>
    </row>
    <row r="581">
      <c r="A581" s="37" t="n"/>
      <c r="C581" s="39" t="n"/>
    </row>
    <row r="582">
      <c r="A582" s="37" t="n"/>
      <c r="C582" s="39" t="n"/>
    </row>
    <row r="583">
      <c r="A583" s="37" t="n"/>
      <c r="C583" s="39" t="n"/>
    </row>
    <row r="584">
      <c r="A584" s="37" t="n"/>
      <c r="C584" s="39" t="n"/>
    </row>
    <row r="585">
      <c r="A585" s="37" t="n"/>
      <c r="C585" s="39" t="n"/>
    </row>
    <row r="586">
      <c r="A586" s="37" t="n"/>
      <c r="C586" s="39" t="n"/>
    </row>
    <row r="587">
      <c r="A587" s="37" t="n"/>
      <c r="C587" s="39" t="n"/>
    </row>
    <row r="588">
      <c r="A588" s="37" t="n"/>
      <c r="C588" s="39" t="n"/>
    </row>
    <row r="589">
      <c r="A589" s="37" t="n"/>
      <c r="C589" s="39" t="n"/>
    </row>
    <row r="590">
      <c r="A590" s="37" t="n"/>
      <c r="C590" s="39" t="n"/>
    </row>
    <row r="591">
      <c r="A591" s="37" t="n"/>
      <c r="C591" s="39" t="n"/>
    </row>
    <row r="592">
      <c r="A592" s="37" t="n"/>
      <c r="C592" s="39" t="n"/>
    </row>
    <row r="593">
      <c r="A593" s="37" t="n"/>
      <c r="C593" s="39" t="n"/>
    </row>
    <row r="594">
      <c r="A594" s="37" t="n"/>
      <c r="C594" s="39" t="n"/>
    </row>
    <row r="595">
      <c r="A595" s="37" t="n"/>
      <c r="C595" s="39" t="n"/>
    </row>
    <row r="596">
      <c r="A596" s="37" t="n"/>
      <c r="C596" s="39" t="n"/>
    </row>
    <row r="597">
      <c r="A597" s="37" t="n"/>
      <c r="C597" s="39" t="n"/>
    </row>
    <row r="598">
      <c r="A598" s="37" t="n"/>
      <c r="C598" s="39" t="n"/>
    </row>
    <row r="599">
      <c r="A599" s="37" t="n"/>
      <c r="C599" s="39" t="n"/>
    </row>
    <row r="600">
      <c r="A600" s="37" t="n"/>
      <c r="C600" s="39" t="n"/>
    </row>
    <row r="601">
      <c r="A601" s="37" t="n"/>
      <c r="C601" s="39" t="n"/>
    </row>
    <row r="602">
      <c r="A602" s="37" t="n"/>
      <c r="C602" s="39" t="n"/>
    </row>
    <row r="603">
      <c r="A603" s="37" t="n"/>
      <c r="C603" s="39" t="n"/>
    </row>
    <row r="604">
      <c r="A604" s="37" t="n"/>
      <c r="C604" s="39" t="n"/>
    </row>
    <row r="605">
      <c r="A605" s="37" t="n"/>
      <c r="C605" s="39" t="n"/>
    </row>
    <row r="606">
      <c r="A606" s="37" t="n"/>
      <c r="C606" s="39" t="n"/>
    </row>
    <row r="607">
      <c r="A607" s="37" t="n"/>
      <c r="C607" s="39" t="n"/>
    </row>
    <row r="608">
      <c r="A608" s="37" t="n"/>
      <c r="C608" s="39" t="n"/>
    </row>
    <row r="609">
      <c r="A609" s="37" t="n"/>
      <c r="C609" s="39" t="n"/>
    </row>
    <row r="610">
      <c r="A610" s="37" t="n"/>
      <c r="C610" s="39" t="n"/>
    </row>
    <row r="611">
      <c r="A611" s="37" t="n"/>
      <c r="C611" s="39" t="n"/>
    </row>
    <row r="612">
      <c r="A612" s="37" t="n"/>
      <c r="C612" s="39" t="n"/>
    </row>
    <row r="613">
      <c r="A613" s="37" t="n"/>
      <c r="C613" s="39" t="n"/>
    </row>
    <row r="614">
      <c r="A614" s="37" t="n"/>
      <c r="C614" s="39" t="n"/>
    </row>
    <row r="615">
      <c r="A615" s="37" t="n"/>
      <c r="C615" s="39" t="n"/>
    </row>
    <row r="616">
      <c r="A616" s="37" t="n"/>
      <c r="C616" s="39" t="n"/>
    </row>
    <row r="617">
      <c r="A617" s="37" t="n"/>
      <c r="C617" s="39" t="n"/>
    </row>
    <row r="618">
      <c r="A618" s="37" t="n"/>
      <c r="C618" s="39" t="n"/>
    </row>
    <row r="619">
      <c r="A619" s="37" t="n"/>
      <c r="C619" s="39" t="n"/>
    </row>
    <row r="620">
      <c r="A620" s="37" t="n"/>
      <c r="C620" s="39" t="n"/>
    </row>
    <row r="621">
      <c r="A621" s="37" t="n"/>
      <c r="C621" s="39" t="n"/>
    </row>
    <row r="622">
      <c r="A622" s="37" t="n"/>
      <c r="C622" s="39" t="n"/>
    </row>
    <row r="623">
      <c r="A623" s="37" t="n"/>
      <c r="C623" s="39" t="n"/>
    </row>
    <row r="624">
      <c r="A624" s="37" t="n"/>
      <c r="C624" s="39" t="n"/>
    </row>
    <row r="625">
      <c r="A625" s="37" t="n"/>
      <c r="C625" s="39" t="n"/>
    </row>
    <row r="626">
      <c r="A626" s="37" t="n"/>
      <c r="C626" s="39" t="n"/>
    </row>
    <row r="627">
      <c r="A627" s="37" t="n"/>
      <c r="C627" s="39" t="n"/>
    </row>
    <row r="628">
      <c r="A628" s="37" t="n"/>
      <c r="C628" s="39" t="n"/>
    </row>
    <row r="629">
      <c r="A629" s="37" t="n"/>
      <c r="C629" s="39" t="n"/>
    </row>
    <row r="630">
      <c r="A630" s="37" t="n"/>
      <c r="C630" s="39" t="n"/>
    </row>
    <row r="631">
      <c r="A631" s="37" t="n"/>
      <c r="C631" s="39" t="n"/>
    </row>
    <row r="632">
      <c r="A632" s="37" t="n"/>
      <c r="C632" s="39" t="n"/>
    </row>
    <row r="633">
      <c r="A633" s="37" t="n"/>
      <c r="C633" s="39" t="n"/>
    </row>
    <row r="634">
      <c r="A634" s="37" t="n"/>
      <c r="C634" s="39" t="n"/>
    </row>
    <row r="635">
      <c r="A635" s="37" t="n"/>
      <c r="C635" s="39" t="n"/>
    </row>
    <row r="636">
      <c r="A636" s="37" t="n"/>
      <c r="C636" s="39" t="n"/>
    </row>
    <row r="637">
      <c r="A637" s="37" t="n"/>
      <c r="C637" s="39" t="n"/>
    </row>
    <row r="638">
      <c r="A638" s="37" t="n"/>
      <c r="C638" s="39" t="n"/>
    </row>
    <row r="639">
      <c r="A639" s="37" t="n"/>
      <c r="C639" s="39" t="n"/>
    </row>
    <row r="640">
      <c r="A640" s="37" t="n"/>
      <c r="C640" s="39" t="n"/>
    </row>
    <row r="641">
      <c r="A641" s="37" t="n"/>
      <c r="C641" s="39" t="n"/>
    </row>
    <row r="642">
      <c r="A642" s="37" t="n"/>
      <c r="C642" s="39" t="n"/>
    </row>
    <row r="643">
      <c r="A643" s="37" t="n"/>
      <c r="C643" s="39" t="n"/>
    </row>
    <row r="644">
      <c r="A644" s="37" t="n"/>
      <c r="C644" s="39" t="n"/>
    </row>
    <row r="645">
      <c r="A645" s="37" t="n"/>
      <c r="C645" s="39" t="n"/>
    </row>
    <row r="646">
      <c r="A646" s="37" t="n"/>
      <c r="C646" s="39" t="n"/>
    </row>
    <row r="647">
      <c r="A647" s="37" t="n"/>
      <c r="C647" s="39" t="n"/>
    </row>
    <row r="648">
      <c r="A648" s="37" t="n"/>
      <c r="C648" s="39" t="n"/>
    </row>
    <row r="649">
      <c r="A649" s="37" t="n"/>
      <c r="C649" s="39" t="n"/>
    </row>
    <row r="650">
      <c r="A650" s="37" t="n"/>
      <c r="C650" s="39" t="n"/>
    </row>
    <row r="651">
      <c r="A651" s="37" t="n"/>
      <c r="C651" s="39" t="n"/>
    </row>
    <row r="652">
      <c r="A652" s="37" t="n"/>
      <c r="C652" s="39" t="n"/>
    </row>
    <row r="653">
      <c r="A653" s="37" t="n"/>
      <c r="C653" s="39" t="n"/>
    </row>
    <row r="654">
      <c r="A654" s="37" t="n"/>
      <c r="C654" s="39" t="n"/>
    </row>
    <row r="655">
      <c r="A655" s="37" t="n"/>
      <c r="C655" s="39" t="n"/>
    </row>
    <row r="656">
      <c r="A656" s="37" t="n"/>
      <c r="C656" s="39" t="n"/>
    </row>
    <row r="657">
      <c r="A657" s="37" t="n"/>
      <c r="C657" s="39" t="n"/>
    </row>
    <row r="658">
      <c r="A658" s="37" t="n"/>
      <c r="C658" s="39" t="n"/>
    </row>
    <row r="659">
      <c r="A659" s="37" t="n"/>
      <c r="C659" s="39" t="n"/>
    </row>
    <row r="660">
      <c r="A660" s="37" t="n"/>
      <c r="C660" s="39" t="n"/>
    </row>
    <row r="661">
      <c r="A661" s="37" t="n"/>
      <c r="C661" s="39" t="n"/>
    </row>
    <row r="662">
      <c r="A662" s="37" t="n"/>
      <c r="C662" s="39" t="n"/>
    </row>
    <row r="663">
      <c r="A663" s="37" t="n"/>
      <c r="C663" s="39" t="n"/>
    </row>
    <row r="664">
      <c r="A664" s="37" t="n"/>
      <c r="C664" s="39" t="n"/>
    </row>
    <row r="665">
      <c r="A665" s="37" t="n"/>
      <c r="C665" s="39" t="n"/>
    </row>
    <row r="666">
      <c r="A666" s="37" t="n"/>
      <c r="C666" s="39" t="n"/>
    </row>
    <row r="667">
      <c r="A667" s="37" t="n"/>
      <c r="C667" s="39" t="n"/>
    </row>
    <row r="668">
      <c r="A668" s="37" t="n"/>
      <c r="C668" s="39" t="n"/>
    </row>
    <row r="669">
      <c r="A669" s="37" t="n"/>
      <c r="C669" s="39" t="n"/>
    </row>
    <row r="670">
      <c r="A670" s="37" t="n"/>
      <c r="C670" s="39" t="n"/>
    </row>
    <row r="671">
      <c r="A671" s="37" t="n"/>
      <c r="C671" s="39" t="n"/>
    </row>
    <row r="672">
      <c r="A672" s="37" t="n"/>
      <c r="C672" s="39" t="n"/>
    </row>
    <row r="673">
      <c r="A673" s="37" t="n"/>
      <c r="C673" s="39" t="n"/>
    </row>
    <row r="674">
      <c r="A674" s="37" t="n"/>
      <c r="C674" s="39" t="n"/>
    </row>
    <row r="675">
      <c r="A675" s="37" t="n"/>
      <c r="C675" s="39" t="n"/>
    </row>
    <row r="676">
      <c r="A676" s="37" t="n"/>
      <c r="C676" s="39" t="n"/>
    </row>
    <row r="677">
      <c r="A677" s="37" t="n"/>
      <c r="C677" s="39" t="n"/>
    </row>
    <row r="678">
      <c r="A678" s="37" t="n"/>
      <c r="C678" s="39" t="n"/>
    </row>
    <row r="679">
      <c r="A679" s="37" t="n"/>
      <c r="C679" s="39" t="n"/>
    </row>
    <row r="680">
      <c r="A680" s="37" t="n"/>
      <c r="C680" s="39" t="n"/>
    </row>
    <row r="681">
      <c r="A681" s="37" t="n"/>
      <c r="C681" s="39" t="n"/>
    </row>
    <row r="682">
      <c r="A682" s="37" t="n"/>
      <c r="C682" s="39" t="n"/>
    </row>
    <row r="683">
      <c r="A683" s="37" t="n"/>
      <c r="C683" s="39" t="n"/>
    </row>
    <row r="684">
      <c r="A684" s="37" t="n"/>
      <c r="C684" s="39" t="n"/>
    </row>
    <row r="685">
      <c r="A685" s="37" t="n"/>
      <c r="C685" s="39" t="n"/>
    </row>
    <row r="686">
      <c r="A686" s="37" t="n"/>
      <c r="C686" s="39" t="n"/>
    </row>
    <row r="687">
      <c r="A687" s="37" t="n"/>
      <c r="C687" s="39" t="n"/>
    </row>
    <row r="688">
      <c r="A688" s="37" t="n"/>
      <c r="C688" s="39" t="n"/>
    </row>
    <row r="689">
      <c r="A689" s="37" t="n"/>
      <c r="C689" s="39" t="n"/>
    </row>
    <row r="690">
      <c r="A690" s="37" t="n"/>
      <c r="C690" s="39" t="n"/>
    </row>
    <row r="691">
      <c r="A691" s="37" t="n"/>
      <c r="C691" s="39" t="n"/>
    </row>
    <row r="692">
      <c r="A692" s="37" t="n"/>
      <c r="C692" s="39" t="n"/>
    </row>
    <row r="693">
      <c r="A693" s="37" t="n"/>
      <c r="C693" s="39" t="n"/>
    </row>
    <row r="694">
      <c r="A694" s="37" t="n"/>
      <c r="C694" s="39" t="n"/>
    </row>
    <row r="695">
      <c r="A695" s="37" t="n"/>
      <c r="C695" s="39" t="n"/>
    </row>
    <row r="696">
      <c r="A696" s="37" t="n"/>
      <c r="C696" s="39" t="n"/>
    </row>
    <row r="697">
      <c r="A697" s="37" t="n"/>
      <c r="C697" s="39" t="n"/>
    </row>
    <row r="698">
      <c r="A698" s="37" t="n"/>
      <c r="C698" s="39" t="n"/>
    </row>
    <row r="699">
      <c r="A699" s="37" t="n"/>
      <c r="C699" s="39" t="n"/>
    </row>
    <row r="700">
      <c r="A700" s="37" t="n"/>
      <c r="C700" s="39" t="n"/>
    </row>
    <row r="701">
      <c r="A701" s="37" t="n"/>
      <c r="C701" s="39" t="n"/>
    </row>
    <row r="702">
      <c r="A702" s="37" t="n"/>
      <c r="C702" s="39" t="n"/>
    </row>
    <row r="703">
      <c r="A703" s="37" t="n"/>
      <c r="C703" s="39" t="n"/>
    </row>
    <row r="704">
      <c r="A704" s="37" t="n"/>
      <c r="C704" s="39" t="n"/>
    </row>
    <row r="705">
      <c r="A705" s="37" t="n"/>
      <c r="C705" s="39" t="n"/>
    </row>
    <row r="706">
      <c r="A706" s="37" t="n"/>
      <c r="C706" s="39" t="n"/>
    </row>
    <row r="707">
      <c r="A707" s="37" t="n"/>
      <c r="C707" s="39" t="n"/>
    </row>
    <row r="708">
      <c r="A708" s="37" t="n"/>
      <c r="C708" s="39" t="n"/>
    </row>
    <row r="709">
      <c r="A709" s="37" t="n"/>
      <c r="C709" s="39" t="n"/>
    </row>
    <row r="710">
      <c r="A710" s="37" t="n"/>
      <c r="C710" s="39" t="n"/>
    </row>
    <row r="711">
      <c r="A711" s="37" t="n"/>
      <c r="C711" s="39" t="n"/>
    </row>
    <row r="712">
      <c r="A712" s="37" t="n"/>
      <c r="C712" s="39" t="n"/>
    </row>
    <row r="713">
      <c r="A713" s="37" t="n"/>
      <c r="C713" s="39" t="n"/>
    </row>
    <row r="714">
      <c r="A714" s="37" t="n"/>
      <c r="C714" s="39" t="n"/>
    </row>
    <row r="715">
      <c r="A715" s="37" t="n"/>
      <c r="C715" s="39" t="n"/>
    </row>
    <row r="716">
      <c r="A716" s="37" t="n"/>
      <c r="C716" s="39" t="n"/>
    </row>
    <row r="717">
      <c r="A717" s="37" t="n"/>
      <c r="C717" s="39" t="n"/>
    </row>
    <row r="718">
      <c r="A718" s="37" t="n"/>
      <c r="C718" s="39" t="n"/>
    </row>
    <row r="719">
      <c r="A719" s="37" t="n"/>
      <c r="C719" s="39" t="n"/>
    </row>
    <row r="720">
      <c r="A720" s="37" t="n"/>
      <c r="C720" s="39" t="n"/>
    </row>
    <row r="721">
      <c r="A721" s="37" t="n"/>
      <c r="C721" s="39" t="n"/>
    </row>
    <row r="722">
      <c r="A722" s="37" t="n"/>
      <c r="C722" s="39" t="n"/>
    </row>
    <row r="723">
      <c r="A723" s="37" t="n"/>
      <c r="C723" s="39" t="n"/>
    </row>
    <row r="724">
      <c r="A724" s="37" t="n"/>
      <c r="C724" s="39" t="n"/>
    </row>
    <row r="725">
      <c r="A725" s="37" t="n"/>
      <c r="C725" s="39" t="n"/>
    </row>
    <row r="726">
      <c r="A726" s="37" t="n"/>
      <c r="C726" s="39" t="n"/>
    </row>
    <row r="727">
      <c r="A727" s="37" t="n"/>
      <c r="C727" s="39" t="n"/>
    </row>
    <row r="728">
      <c r="A728" s="37" t="n"/>
      <c r="C728" s="39" t="n"/>
    </row>
    <row r="729">
      <c r="A729" s="37" t="n"/>
      <c r="C729" s="39" t="n"/>
    </row>
    <row r="730">
      <c r="A730" s="37" t="n"/>
      <c r="C730" s="39" t="n"/>
    </row>
    <row r="731">
      <c r="A731" s="37" t="n"/>
      <c r="C731" s="39" t="n"/>
    </row>
    <row r="732">
      <c r="A732" s="37" t="n"/>
      <c r="C732" s="39" t="n"/>
    </row>
    <row r="733">
      <c r="A733" s="37" t="n"/>
      <c r="C733" s="39" t="n"/>
    </row>
    <row r="734">
      <c r="A734" s="37" t="n"/>
      <c r="C734" s="39" t="n"/>
    </row>
    <row r="735">
      <c r="A735" s="37" t="n"/>
      <c r="C735" s="39" t="n"/>
    </row>
    <row r="736">
      <c r="A736" s="37" t="n"/>
      <c r="C736" s="39" t="n"/>
    </row>
    <row r="737">
      <c r="A737" s="37" t="n"/>
      <c r="C737" s="39" t="n"/>
    </row>
    <row r="738">
      <c r="A738" s="37" t="n"/>
      <c r="C738" s="39" t="n"/>
    </row>
    <row r="739">
      <c r="A739" s="37" t="n"/>
      <c r="C739" s="39" t="n"/>
    </row>
    <row r="740">
      <c r="A740" s="37" t="n"/>
      <c r="C740" s="39" t="n"/>
    </row>
    <row r="741">
      <c r="A741" s="37" t="n"/>
      <c r="C741" s="39" t="n"/>
    </row>
    <row r="742">
      <c r="A742" s="37" t="n"/>
      <c r="C742" s="39" t="n"/>
    </row>
    <row r="743">
      <c r="A743" s="37" t="n"/>
      <c r="C743" s="39" t="n"/>
    </row>
    <row r="744">
      <c r="A744" s="37" t="n"/>
      <c r="C744" s="39" t="n"/>
    </row>
    <row r="745">
      <c r="A745" s="37" t="n"/>
      <c r="C745" s="39" t="n"/>
    </row>
    <row r="746">
      <c r="A746" s="37" t="n"/>
      <c r="C746" s="39" t="n"/>
    </row>
    <row r="747">
      <c r="A747" s="37" t="n"/>
      <c r="C747" s="39" t="n"/>
    </row>
    <row r="748">
      <c r="A748" s="37" t="n"/>
      <c r="C748" s="39" t="n"/>
    </row>
    <row r="749">
      <c r="A749" s="37" t="n"/>
      <c r="C749" s="39" t="n"/>
    </row>
    <row r="750">
      <c r="A750" s="37" t="n"/>
      <c r="C750" s="39" t="n"/>
    </row>
    <row r="751">
      <c r="A751" s="37" t="n"/>
      <c r="C751" s="39" t="n"/>
    </row>
    <row r="752">
      <c r="A752" s="37" t="n"/>
      <c r="C752" s="39" t="n"/>
    </row>
    <row r="753">
      <c r="A753" s="37" t="n"/>
      <c r="C753" s="39" t="n"/>
    </row>
    <row r="754">
      <c r="A754" s="37" t="n"/>
      <c r="C754" s="39" t="n"/>
    </row>
    <row r="755">
      <c r="A755" s="37" t="n"/>
      <c r="C755" s="39" t="n"/>
    </row>
    <row r="756">
      <c r="A756" s="37" t="n"/>
      <c r="C756" s="39" t="n"/>
    </row>
    <row r="757">
      <c r="A757" s="37" t="n"/>
      <c r="C757" s="39" t="n"/>
    </row>
    <row r="758">
      <c r="A758" s="37" t="n"/>
      <c r="C758" s="39" t="n"/>
    </row>
    <row r="759">
      <c r="A759" s="37" t="n"/>
      <c r="C759" s="39" t="n"/>
    </row>
    <row r="760">
      <c r="A760" s="37" t="n"/>
      <c r="C760" s="39" t="n"/>
    </row>
    <row r="761">
      <c r="A761" s="37" t="n"/>
      <c r="C761" s="39" t="n"/>
    </row>
    <row r="762">
      <c r="A762" s="37" t="n"/>
      <c r="C762" s="39" t="n"/>
    </row>
    <row r="763">
      <c r="A763" s="37" t="n"/>
      <c r="C763" s="39" t="n"/>
    </row>
    <row r="764">
      <c r="A764" s="37" t="n"/>
      <c r="C764" s="39" t="n"/>
    </row>
    <row r="765">
      <c r="A765" s="37" t="n"/>
      <c r="C765" s="39" t="n"/>
    </row>
    <row r="766">
      <c r="A766" s="37" t="n"/>
      <c r="C766" s="39" t="n"/>
    </row>
    <row r="767">
      <c r="A767" s="37" t="n"/>
      <c r="C767" s="39" t="n"/>
    </row>
    <row r="768">
      <c r="A768" s="37" t="n"/>
      <c r="C768" s="39" t="n"/>
    </row>
    <row r="769">
      <c r="A769" s="37" t="n"/>
      <c r="C769" s="39" t="n"/>
    </row>
    <row r="770">
      <c r="A770" s="37" t="n"/>
      <c r="C770" s="39" t="n"/>
    </row>
    <row r="771">
      <c r="A771" s="37" t="n"/>
      <c r="C771" s="39" t="n"/>
    </row>
    <row r="772">
      <c r="A772" s="37" t="n"/>
      <c r="C772" s="39" t="n"/>
    </row>
    <row r="773">
      <c r="A773" s="37" t="n"/>
      <c r="C773" s="39" t="n"/>
    </row>
    <row r="774">
      <c r="A774" s="37" t="n"/>
      <c r="C774" s="39" t="n"/>
    </row>
    <row r="775">
      <c r="A775" s="37" t="n"/>
      <c r="C775" s="39" t="n"/>
    </row>
    <row r="776">
      <c r="A776" s="37" t="n"/>
      <c r="C776" s="39" t="n"/>
    </row>
    <row r="777">
      <c r="A777" s="37" t="n"/>
      <c r="C777" s="39" t="n"/>
    </row>
    <row r="778">
      <c r="A778" s="37" t="n"/>
      <c r="C778" s="39" t="n"/>
    </row>
    <row r="779">
      <c r="A779" s="37" t="n"/>
      <c r="C779" s="39" t="n"/>
    </row>
    <row r="780">
      <c r="A780" s="37" t="n"/>
      <c r="C780" s="39" t="n"/>
    </row>
    <row r="781">
      <c r="A781" s="37" t="n"/>
      <c r="C781" s="39" t="n"/>
    </row>
    <row r="782">
      <c r="A782" s="37" t="n"/>
      <c r="C782" s="39" t="n"/>
    </row>
    <row r="783">
      <c r="A783" s="37" t="n"/>
      <c r="C783" s="39" t="n"/>
    </row>
    <row r="784">
      <c r="A784" s="37" t="n"/>
      <c r="C784" s="39" t="n"/>
    </row>
    <row r="785">
      <c r="A785" s="37" t="n"/>
      <c r="C785" s="39" t="n"/>
    </row>
    <row r="786">
      <c r="A786" s="37" t="n"/>
      <c r="C786" s="39" t="n"/>
    </row>
    <row r="787">
      <c r="A787" s="37" t="n"/>
      <c r="C787" s="39" t="n"/>
    </row>
    <row r="788">
      <c r="A788" s="37" t="n"/>
      <c r="C788" s="39" t="n"/>
    </row>
    <row r="789">
      <c r="A789" s="37" t="n"/>
      <c r="C789" s="39" t="n"/>
    </row>
    <row r="790">
      <c r="A790" s="37" t="n"/>
      <c r="C790" s="39" t="n"/>
    </row>
    <row r="791">
      <c r="A791" s="37" t="n"/>
      <c r="C791" s="39" t="n"/>
    </row>
    <row r="792">
      <c r="A792" s="37" t="n"/>
      <c r="C792" s="39" t="n"/>
    </row>
    <row r="793">
      <c r="A793" s="37" t="n"/>
      <c r="C793" s="39" t="n"/>
    </row>
    <row r="794">
      <c r="A794" s="37" t="n"/>
      <c r="C794" s="39" t="n"/>
    </row>
    <row r="795">
      <c r="A795" s="37" t="n"/>
      <c r="C795" s="39" t="n"/>
    </row>
    <row r="796">
      <c r="A796" s="37" t="n"/>
      <c r="C796" s="39" t="n"/>
    </row>
    <row r="797">
      <c r="A797" s="37" t="n"/>
      <c r="C797" s="39" t="n"/>
    </row>
    <row r="798">
      <c r="A798" s="37" t="n"/>
      <c r="C798" s="39" t="n"/>
    </row>
    <row r="799">
      <c r="A799" s="37" t="n"/>
      <c r="C799" s="39" t="n"/>
    </row>
    <row r="800">
      <c r="A800" s="37" t="n"/>
      <c r="C800" s="39" t="n"/>
    </row>
    <row r="801">
      <c r="A801" s="37" t="n"/>
      <c r="C801" s="39" t="n"/>
    </row>
    <row r="802">
      <c r="A802" s="37" t="n"/>
      <c r="C802" s="39" t="n"/>
    </row>
    <row r="803">
      <c r="A803" s="37" t="n"/>
      <c r="C803" s="39" t="n"/>
    </row>
    <row r="804">
      <c r="A804" s="37" t="n"/>
      <c r="C804" s="39" t="n"/>
    </row>
    <row r="805">
      <c r="A805" s="37" t="n"/>
      <c r="C805" s="39" t="n"/>
    </row>
    <row r="806">
      <c r="A806" s="37" t="n"/>
      <c r="C806" s="39" t="n"/>
    </row>
    <row r="807">
      <c r="A807" s="37" t="n"/>
      <c r="C807" s="39" t="n"/>
    </row>
    <row r="808">
      <c r="A808" s="37" t="n"/>
      <c r="C808" s="39" t="n"/>
    </row>
    <row r="809">
      <c r="A809" s="37" t="n"/>
      <c r="C809" s="39" t="n"/>
    </row>
    <row r="810">
      <c r="A810" s="37" t="n"/>
      <c r="C810" s="39" t="n"/>
    </row>
    <row r="811">
      <c r="A811" s="37" t="n"/>
      <c r="C811" s="39" t="n"/>
    </row>
    <row r="812">
      <c r="A812" s="37" t="n"/>
      <c r="C812" s="39" t="n"/>
    </row>
    <row r="813">
      <c r="A813" s="37" t="n"/>
      <c r="C813" s="39" t="n"/>
    </row>
    <row r="814">
      <c r="A814" s="37" t="n"/>
      <c r="C814" s="39" t="n"/>
    </row>
    <row r="815">
      <c r="A815" s="37" t="n"/>
      <c r="C815" s="39" t="n"/>
    </row>
    <row r="816">
      <c r="A816" s="37" t="n"/>
      <c r="C816" s="39" t="n"/>
    </row>
    <row r="817">
      <c r="A817" s="37" t="n"/>
      <c r="C817" s="39" t="n"/>
    </row>
    <row r="818">
      <c r="A818" s="37" t="n"/>
      <c r="C818" s="39" t="n"/>
    </row>
    <row r="819">
      <c r="A819" s="37" t="n"/>
      <c r="C819" s="39" t="n"/>
    </row>
    <row r="820">
      <c r="A820" s="37" t="n"/>
      <c r="C820" s="39" t="n"/>
    </row>
    <row r="821">
      <c r="A821" s="37" t="n"/>
      <c r="C821" s="39" t="n"/>
    </row>
    <row r="822">
      <c r="A822" s="37" t="n"/>
      <c r="C822" s="39" t="n"/>
    </row>
    <row r="823">
      <c r="A823" s="37" t="n"/>
      <c r="C823" s="39" t="n"/>
    </row>
    <row r="824">
      <c r="A824" s="37" t="n"/>
      <c r="C824" s="39" t="n"/>
    </row>
    <row r="825">
      <c r="A825" s="37" t="n"/>
      <c r="C825" s="39" t="n"/>
    </row>
    <row r="826">
      <c r="A826" s="37" t="n"/>
      <c r="C826" s="39" t="n"/>
    </row>
    <row r="827">
      <c r="A827" s="37" t="n"/>
      <c r="C827" s="39" t="n"/>
    </row>
    <row r="828">
      <c r="A828" s="37" t="n"/>
      <c r="C828" s="39" t="n"/>
    </row>
    <row r="829">
      <c r="A829" s="37" t="n"/>
      <c r="C829" s="39" t="n"/>
    </row>
    <row r="830">
      <c r="A830" s="37" t="n"/>
      <c r="C830" s="39" t="n"/>
    </row>
    <row r="831">
      <c r="A831" s="37" t="n"/>
      <c r="C831" s="39" t="n"/>
    </row>
    <row r="832">
      <c r="A832" s="37" t="n"/>
      <c r="C832" s="39" t="n"/>
    </row>
    <row r="833">
      <c r="A833" s="37" t="n"/>
      <c r="C833" s="39" t="n"/>
    </row>
    <row r="834">
      <c r="A834" s="37" t="n"/>
      <c r="C834" s="39" t="n"/>
    </row>
    <row r="835">
      <c r="A835" s="37" t="n"/>
      <c r="C835" s="39" t="n"/>
    </row>
    <row r="836">
      <c r="A836" s="37" t="n"/>
      <c r="C836" s="39" t="n"/>
    </row>
    <row r="837">
      <c r="A837" s="37" t="n"/>
      <c r="C837" s="39" t="n"/>
    </row>
    <row r="838">
      <c r="A838" s="37" t="n"/>
      <c r="C838" s="39" t="n"/>
    </row>
    <row r="839">
      <c r="A839" s="37" t="n"/>
      <c r="C839" s="39" t="n"/>
    </row>
    <row r="840">
      <c r="A840" s="37" t="n"/>
      <c r="C840" s="39" t="n"/>
    </row>
    <row r="841">
      <c r="A841" s="37" t="n"/>
      <c r="C841" s="39" t="n"/>
    </row>
    <row r="842">
      <c r="A842" s="37" t="n"/>
      <c r="C842" s="39" t="n"/>
    </row>
    <row r="843">
      <c r="A843" s="37" t="n"/>
      <c r="C843" s="39" t="n"/>
    </row>
    <row r="844">
      <c r="A844" s="37" t="n"/>
      <c r="C844" s="39" t="n"/>
    </row>
    <row r="845">
      <c r="A845" s="37" t="n"/>
      <c r="C845" s="39" t="n"/>
    </row>
    <row r="846">
      <c r="A846" s="37" t="n"/>
      <c r="C846" s="39" t="n"/>
    </row>
    <row r="847">
      <c r="A847" s="37" t="n"/>
      <c r="C847" s="39" t="n"/>
    </row>
    <row r="848">
      <c r="A848" s="37" t="n"/>
      <c r="C848" s="39" t="n"/>
    </row>
    <row r="849">
      <c r="A849" s="37" t="n"/>
      <c r="C849" s="39" t="n"/>
    </row>
    <row r="850">
      <c r="A850" s="37" t="n"/>
      <c r="C850" s="39" t="n"/>
    </row>
    <row r="851">
      <c r="A851" s="37" t="n"/>
      <c r="C851" s="39" t="n"/>
    </row>
    <row r="852">
      <c r="A852" s="37" t="n"/>
      <c r="C852" s="39" t="n"/>
    </row>
    <row r="853">
      <c r="A853" s="37" t="n"/>
      <c r="C853" s="39" t="n"/>
    </row>
    <row r="854">
      <c r="A854" s="37" t="n"/>
      <c r="C854" s="39" t="n"/>
    </row>
    <row r="855">
      <c r="A855" s="37" t="n"/>
      <c r="C855" s="39" t="n"/>
    </row>
    <row r="856">
      <c r="A856" s="37" t="n"/>
      <c r="C856" s="39" t="n"/>
    </row>
    <row r="857">
      <c r="A857" s="37" t="n"/>
      <c r="C857" s="39" t="n"/>
    </row>
    <row r="858">
      <c r="A858" s="37" t="n"/>
      <c r="C858" s="39" t="n"/>
    </row>
    <row r="859">
      <c r="A859" s="37" t="n"/>
      <c r="C859" s="39" t="n"/>
    </row>
    <row r="860">
      <c r="A860" s="37" t="n"/>
      <c r="C860" s="39" t="n"/>
    </row>
    <row r="861">
      <c r="A861" s="37" t="n"/>
      <c r="C861" s="39" t="n"/>
    </row>
    <row r="862">
      <c r="A862" s="37" t="n"/>
      <c r="C862" s="39" t="n"/>
    </row>
    <row r="863">
      <c r="A863" s="37" t="n"/>
      <c r="C863" s="39" t="n"/>
    </row>
    <row r="864">
      <c r="A864" s="37" t="n"/>
      <c r="C864" s="39" t="n"/>
    </row>
    <row r="865">
      <c r="A865" s="37" t="n"/>
      <c r="C865" s="39" t="n"/>
    </row>
    <row r="866">
      <c r="A866" s="37" t="n"/>
      <c r="C866" s="39" t="n"/>
    </row>
    <row r="867">
      <c r="A867" s="37" t="n"/>
      <c r="C867" s="39" t="n"/>
    </row>
    <row r="868">
      <c r="A868" s="37" t="n"/>
      <c r="C868" s="39" t="n"/>
    </row>
    <row r="869">
      <c r="A869" s="37" t="n"/>
      <c r="C869" s="39" t="n"/>
    </row>
    <row r="870">
      <c r="A870" s="37" t="n"/>
      <c r="C870" s="39" t="n"/>
    </row>
    <row r="871">
      <c r="A871" s="37" t="n"/>
      <c r="C871" s="39" t="n"/>
    </row>
    <row r="872">
      <c r="A872" s="37" t="n"/>
      <c r="C872" s="39" t="n"/>
    </row>
    <row r="873">
      <c r="A873" s="37" t="n"/>
      <c r="C873" s="39" t="n"/>
    </row>
    <row r="874">
      <c r="A874" s="37" t="n"/>
      <c r="C874" s="39" t="n"/>
    </row>
    <row r="875">
      <c r="A875" s="37" t="n"/>
      <c r="C875" s="39" t="n"/>
    </row>
    <row r="876">
      <c r="A876" s="37" t="n"/>
      <c r="C876" s="39" t="n"/>
    </row>
    <row r="877">
      <c r="A877" s="37" t="n"/>
      <c r="C877" s="39" t="n"/>
    </row>
    <row r="878">
      <c r="A878" s="37" t="n"/>
      <c r="C878" s="39" t="n"/>
    </row>
    <row r="879">
      <c r="A879" s="37" t="n"/>
      <c r="C879" s="39" t="n"/>
    </row>
    <row r="880">
      <c r="A880" s="37" t="n"/>
      <c r="C880" s="39" t="n"/>
    </row>
    <row r="881">
      <c r="A881" s="37" t="n"/>
      <c r="C881" s="39" t="n"/>
    </row>
    <row r="882">
      <c r="A882" s="37" t="n"/>
      <c r="C882" s="39" t="n"/>
    </row>
    <row r="883">
      <c r="A883" s="37" t="n"/>
      <c r="C883" s="39" t="n"/>
    </row>
    <row r="884">
      <c r="A884" s="37" t="n"/>
      <c r="C884" s="39" t="n"/>
    </row>
    <row r="885">
      <c r="A885" s="37" t="n"/>
      <c r="C885" s="39" t="n"/>
    </row>
    <row r="886">
      <c r="A886" s="37" t="n"/>
      <c r="C886" s="39" t="n"/>
    </row>
    <row r="887">
      <c r="A887" s="37" t="n"/>
      <c r="C887" s="39" t="n"/>
    </row>
    <row r="888">
      <c r="A888" s="37" t="n"/>
      <c r="C888" s="39" t="n"/>
    </row>
    <row r="889">
      <c r="A889" s="37" t="n"/>
      <c r="C889" s="39" t="n"/>
    </row>
    <row r="890">
      <c r="A890" s="37" t="n"/>
      <c r="C890" s="39" t="n"/>
    </row>
    <row r="891">
      <c r="A891" s="37" t="n"/>
      <c r="C891" s="39" t="n"/>
    </row>
    <row r="892">
      <c r="A892" s="37" t="n"/>
      <c r="C892" s="39" t="n"/>
    </row>
    <row r="893">
      <c r="A893" s="37" t="n"/>
      <c r="C893" s="39" t="n"/>
    </row>
    <row r="894">
      <c r="A894" s="37" t="n"/>
      <c r="C894" s="39" t="n"/>
    </row>
    <row r="895">
      <c r="A895" s="37" t="n"/>
      <c r="C895" s="39" t="n"/>
    </row>
    <row r="896">
      <c r="A896" s="37" t="n"/>
      <c r="C896" s="39" t="n"/>
    </row>
    <row r="897">
      <c r="A897" s="37" t="n"/>
      <c r="C897" s="39" t="n"/>
    </row>
    <row r="898">
      <c r="A898" s="37" t="n"/>
      <c r="C898" s="39" t="n"/>
    </row>
    <row r="899">
      <c r="A899" s="37" t="n"/>
      <c r="C899" s="39" t="n"/>
    </row>
    <row r="900">
      <c r="A900" s="37" t="n"/>
      <c r="C900" s="39" t="n"/>
    </row>
    <row r="901">
      <c r="A901" s="37" t="n"/>
      <c r="C901" s="39" t="n"/>
    </row>
    <row r="902">
      <c r="A902" s="37" t="n"/>
      <c r="C902" s="39" t="n"/>
    </row>
    <row r="903">
      <c r="A903" s="37" t="n"/>
      <c r="C903" s="39" t="n"/>
    </row>
    <row r="904">
      <c r="A904" s="37" t="n"/>
      <c r="C904" s="39" t="n"/>
    </row>
    <row r="905">
      <c r="A905" s="37" t="n"/>
      <c r="C905" s="39" t="n"/>
    </row>
    <row r="906">
      <c r="A906" s="37" t="n"/>
      <c r="C906" s="39" t="n"/>
    </row>
    <row r="907">
      <c r="A907" s="37" t="n"/>
      <c r="C907" s="39" t="n"/>
    </row>
    <row r="908">
      <c r="A908" s="37" t="n"/>
      <c r="C908" s="39" t="n"/>
    </row>
    <row r="909">
      <c r="A909" s="37" t="n"/>
      <c r="C909" s="39" t="n"/>
    </row>
    <row r="910">
      <c r="A910" s="37" t="n"/>
      <c r="C910" s="39" t="n"/>
    </row>
    <row r="911">
      <c r="A911" s="37" t="n"/>
      <c r="C911" s="39" t="n"/>
    </row>
    <row r="912">
      <c r="A912" s="37" t="n"/>
      <c r="C912" s="39" t="n"/>
    </row>
    <row r="913">
      <c r="A913" s="37" t="n"/>
      <c r="C913" s="39" t="n"/>
    </row>
    <row r="914">
      <c r="A914" s="37" t="n"/>
      <c r="C914" s="39" t="n"/>
    </row>
    <row r="915">
      <c r="A915" s="37" t="n"/>
      <c r="C915" s="39" t="n"/>
    </row>
    <row r="916">
      <c r="A916" s="37" t="n"/>
      <c r="C916" s="39" t="n"/>
    </row>
    <row r="917">
      <c r="A917" s="37" t="n"/>
      <c r="C917" s="39" t="n"/>
    </row>
    <row r="918">
      <c r="A918" s="37" t="n"/>
      <c r="C918" s="39" t="n"/>
    </row>
    <row r="919">
      <c r="A919" s="37" t="n"/>
      <c r="C919" s="39" t="n"/>
    </row>
    <row r="920">
      <c r="A920" s="37" t="n"/>
      <c r="C920" s="39" t="n"/>
    </row>
    <row r="921">
      <c r="A921" s="37" t="n"/>
      <c r="C921" s="39" t="n"/>
    </row>
    <row r="922">
      <c r="A922" s="37" t="n"/>
      <c r="C922" s="39" t="n"/>
    </row>
    <row r="923">
      <c r="A923" s="37" t="n"/>
      <c r="C923" s="39" t="n"/>
    </row>
    <row r="924">
      <c r="A924" s="37" t="n"/>
      <c r="C924" s="39" t="n"/>
    </row>
    <row r="925">
      <c r="A925" s="37" t="n"/>
      <c r="C925" s="39" t="n"/>
    </row>
    <row r="926">
      <c r="A926" s="37" t="n"/>
      <c r="C926" s="39" t="n"/>
    </row>
    <row r="927">
      <c r="A927" s="37" t="n"/>
      <c r="C927" s="39" t="n"/>
    </row>
    <row r="928">
      <c r="A928" s="37" t="n"/>
      <c r="C928" s="39" t="n"/>
    </row>
    <row r="929">
      <c r="A929" s="37" t="n"/>
      <c r="C929" s="39" t="n"/>
    </row>
    <row r="930">
      <c r="A930" s="37" t="n"/>
      <c r="C930" s="39" t="n"/>
    </row>
    <row r="931">
      <c r="A931" s="37" t="n"/>
      <c r="C931" s="39" t="n"/>
    </row>
    <row r="932">
      <c r="A932" s="37" t="n"/>
      <c r="C932" s="39" t="n"/>
    </row>
    <row r="933">
      <c r="A933" s="37" t="n"/>
      <c r="C933" s="39" t="n"/>
    </row>
    <row r="934">
      <c r="A934" s="37" t="n"/>
      <c r="C934" s="39" t="n"/>
    </row>
    <row r="935">
      <c r="A935" s="37" t="n"/>
      <c r="C935" s="39" t="n"/>
    </row>
    <row r="936">
      <c r="A936" s="37" t="n"/>
      <c r="C936" s="39" t="n"/>
    </row>
    <row r="937">
      <c r="A937" s="37" t="n"/>
      <c r="C937" s="39" t="n"/>
    </row>
    <row r="938">
      <c r="A938" s="37" t="n"/>
      <c r="C938" s="39" t="n"/>
    </row>
    <row r="939">
      <c r="A939" s="37" t="n"/>
      <c r="C939" s="39" t="n"/>
    </row>
    <row r="940">
      <c r="A940" s="37" t="n"/>
      <c r="C940" s="39" t="n"/>
    </row>
    <row r="941">
      <c r="A941" s="37" t="n"/>
      <c r="C941" s="39" t="n"/>
    </row>
    <row r="942">
      <c r="A942" s="37" t="n"/>
      <c r="C942" s="39" t="n"/>
    </row>
    <row r="943">
      <c r="A943" s="37" t="n"/>
      <c r="C943" s="39" t="n"/>
    </row>
    <row r="944">
      <c r="A944" s="37" t="n"/>
      <c r="C944" s="39" t="n"/>
    </row>
    <row r="945">
      <c r="A945" s="37" t="n"/>
      <c r="C945" s="39" t="n"/>
    </row>
    <row r="946">
      <c r="A946" s="37" t="n"/>
      <c r="C946" s="39" t="n"/>
    </row>
    <row r="947">
      <c r="A947" s="37" t="n"/>
      <c r="C947" s="39" t="n"/>
    </row>
    <row r="948">
      <c r="A948" s="37" t="n"/>
      <c r="C948" s="39" t="n"/>
    </row>
    <row r="949">
      <c r="A949" s="37" t="n"/>
      <c r="C949" s="39" t="n"/>
    </row>
    <row r="950">
      <c r="A950" s="37" t="n"/>
      <c r="C950" s="39" t="n"/>
    </row>
    <row r="951">
      <c r="A951" s="37" t="n"/>
      <c r="C951" s="39" t="n"/>
    </row>
    <row r="952">
      <c r="A952" s="37" t="n"/>
      <c r="C952" s="39" t="n"/>
    </row>
    <row r="953">
      <c r="A953" s="37" t="n"/>
      <c r="C953" s="39" t="n"/>
    </row>
    <row r="954">
      <c r="A954" s="37" t="n"/>
      <c r="C954" s="39" t="n"/>
    </row>
    <row r="955">
      <c r="A955" s="37" t="n"/>
      <c r="C955" s="39" t="n"/>
    </row>
    <row r="956">
      <c r="A956" s="37" t="n"/>
      <c r="C956" s="39" t="n"/>
    </row>
    <row r="957">
      <c r="A957" s="37" t="n"/>
      <c r="C957" s="39" t="n"/>
    </row>
    <row r="958">
      <c r="A958" s="37" t="n"/>
      <c r="C958" s="39" t="n"/>
    </row>
    <row r="959">
      <c r="A959" s="37" t="n"/>
      <c r="C959" s="39" t="n"/>
    </row>
    <row r="960">
      <c r="A960" s="37" t="n"/>
      <c r="C960" s="39" t="n"/>
    </row>
    <row r="961">
      <c r="A961" s="37" t="n"/>
      <c r="C961" s="39" t="n"/>
    </row>
    <row r="962">
      <c r="A962" s="37" t="n"/>
      <c r="C962" s="39" t="n"/>
    </row>
    <row r="963">
      <c r="A963" s="37" t="n"/>
      <c r="C963" s="39" t="n"/>
    </row>
    <row r="964">
      <c r="A964" s="37" t="n"/>
      <c r="C964" s="39" t="n"/>
    </row>
    <row r="965">
      <c r="A965" s="37" t="n"/>
      <c r="C965" s="39" t="n"/>
    </row>
    <row r="966">
      <c r="A966" s="37" t="n"/>
      <c r="C966" s="39" t="n"/>
    </row>
    <row r="967">
      <c r="A967" s="37" t="n"/>
      <c r="C967" s="39" t="n"/>
    </row>
    <row r="968">
      <c r="A968" s="37" t="n"/>
      <c r="C968" s="39" t="n"/>
    </row>
    <row r="969">
      <c r="A969" s="37" t="n"/>
      <c r="C969" s="39" t="n"/>
    </row>
    <row r="970">
      <c r="A970" s="37" t="n"/>
      <c r="C970" s="39" t="n"/>
    </row>
    <row r="971">
      <c r="A971" s="37" t="n"/>
      <c r="C971" s="39" t="n"/>
    </row>
    <row r="972">
      <c r="A972" s="37" t="n"/>
      <c r="C972" s="39" t="n"/>
    </row>
    <row r="973">
      <c r="A973" s="37" t="n"/>
      <c r="C973" s="39" t="n"/>
    </row>
    <row r="974">
      <c r="A974" s="37" t="n"/>
      <c r="C974" s="39" t="n"/>
    </row>
    <row r="975">
      <c r="A975" s="37" t="n"/>
      <c r="C975" s="39" t="n"/>
    </row>
    <row r="976">
      <c r="A976" s="37" t="n"/>
      <c r="C976" s="39" t="n"/>
    </row>
    <row r="977">
      <c r="A977" s="37" t="n"/>
      <c r="C977" s="39" t="n"/>
    </row>
    <row r="978">
      <c r="A978" s="37" t="n"/>
      <c r="C978" s="39" t="n"/>
    </row>
    <row r="979">
      <c r="A979" s="37" t="n"/>
      <c r="C979" s="39" t="n"/>
    </row>
    <row r="980">
      <c r="A980" s="37" t="n"/>
      <c r="C980" s="39" t="n"/>
    </row>
    <row r="981">
      <c r="A981" s="37" t="n"/>
      <c r="C981" s="39" t="n"/>
    </row>
    <row r="982">
      <c r="A982" s="37" t="n"/>
      <c r="C982" s="39" t="n"/>
    </row>
    <row r="983">
      <c r="A983" s="37" t="n"/>
      <c r="C983" s="39" t="n"/>
    </row>
    <row r="984">
      <c r="A984" s="37" t="n"/>
      <c r="C984" s="39" t="n"/>
    </row>
    <row r="985">
      <c r="A985" s="37" t="n"/>
      <c r="C985" s="39" t="n"/>
    </row>
    <row r="986">
      <c r="A986" s="37" t="n"/>
      <c r="C986" s="39" t="n"/>
    </row>
    <row r="987">
      <c r="A987" s="37" t="n"/>
      <c r="C987" s="39" t="n"/>
    </row>
    <row r="988">
      <c r="A988" s="37" t="n"/>
      <c r="C988" s="39" t="n"/>
    </row>
    <row r="989">
      <c r="A989" s="37" t="n"/>
      <c r="C989" s="39" t="n"/>
    </row>
    <row r="990">
      <c r="A990" s="37" t="n"/>
      <c r="C990" s="39" t="n"/>
    </row>
    <row r="991">
      <c r="A991" s="37" t="n"/>
      <c r="C991" s="39" t="n"/>
    </row>
    <row r="992">
      <c r="A992" s="37" t="n"/>
      <c r="C992" s="39" t="n"/>
    </row>
    <row r="993">
      <c r="A993" s="37" t="n"/>
      <c r="C993" s="39" t="n"/>
    </row>
    <row r="994">
      <c r="A994" s="37" t="n"/>
      <c r="C994" s="39" t="n"/>
    </row>
    <row r="995">
      <c r="A995" s="37" t="n"/>
      <c r="C995" s="39" t="n"/>
    </row>
    <row r="996">
      <c r="A996" s="37" t="n"/>
      <c r="C996" s="39" t="n"/>
    </row>
    <row r="997">
      <c r="A997" s="37" t="n"/>
      <c r="C997" s="39" t="n"/>
    </row>
    <row r="998">
      <c r="A998" s="37" t="n"/>
      <c r="C998" s="39" t="n"/>
    </row>
    <row r="999">
      <c r="A999" s="37" t="n"/>
      <c r="C999" s="39" t="n"/>
    </row>
    <row r="1000">
      <c r="A1000" s="37" t="n"/>
      <c r="C1000" s="39" t="n"/>
    </row>
    <row r="1001">
      <c r="A1001" s="37" t="n"/>
      <c r="C1001" s="39" t="n"/>
    </row>
    <row r="1002">
      <c r="A1002" s="37" t="n"/>
      <c r="C1002" s="39" t="n"/>
    </row>
    <row r="1003">
      <c r="A1003" s="37" t="n"/>
      <c r="C1003" s="39" t="n"/>
    </row>
    <row r="1004">
      <c r="A1004" s="37" t="n"/>
      <c r="C1004" s="3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5" customWidth="1" min="3" max="3"/>
    <col width="20" customWidth="1" min="4" max="4"/>
    <col width="22" customWidth="1" min="5" max="5"/>
  </cols>
  <sheetData>
    <row r="1">
      <c r="A1" s="33" t="inlineStr">
        <is>
          <t>Imports - Checking — paste raw transactions below (data starts row 5)</t>
        </is>
      </c>
    </row>
    <row r="2">
      <c r="A2" s="12" t="inlineStr">
        <is>
          <t>Amount is a magnitude; the Type column (Debit/Credit) sets direction.   [format: debitcredit]</t>
        </is>
      </c>
    </row>
    <row r="3">
      <c r="A3" s="40" t="inlineStr">
        <is>
          <t>EXAMPLE SOURCE — to activate, uncomment this tab in IMPORT_TABS in FIRE_Template.gs, then re-run Setup.</t>
        </is>
      </c>
    </row>
    <row r="4">
      <c r="A4" s="9" t="inlineStr">
        <is>
          <t>Date</t>
        </is>
      </c>
      <c r="B4" s="9" t="inlineStr">
        <is>
          <t>Description</t>
        </is>
      </c>
      <c r="C4" s="9" t="inlineStr">
        <is>
          <t>Amount</t>
        </is>
      </c>
      <c r="D4" s="9" t="inlineStr">
        <is>
          <t>Type (Debit/Credit)</t>
        </is>
      </c>
      <c r="E4" s="9" t="inlineStr">
        <is>
          <t>Category (auto)</t>
        </is>
      </c>
    </row>
    <row r="5">
      <c r="A5" s="37" t="n"/>
      <c r="C5" s="39" t="n"/>
    </row>
    <row r="6">
      <c r="A6" s="37" t="n"/>
      <c r="C6" s="39" t="n"/>
    </row>
    <row r="7">
      <c r="A7" s="37" t="n"/>
      <c r="C7" s="39" t="n"/>
    </row>
    <row r="8">
      <c r="A8" s="37" t="n"/>
      <c r="C8" s="39" t="n"/>
    </row>
    <row r="9">
      <c r="A9" s="37" t="n"/>
      <c r="C9" s="39" t="n"/>
    </row>
    <row r="10">
      <c r="A10" s="37" t="n"/>
      <c r="C10" s="39" t="n"/>
    </row>
    <row r="11">
      <c r="A11" s="37" t="n"/>
      <c r="C11" s="39" t="n"/>
    </row>
    <row r="12">
      <c r="A12" s="37" t="n"/>
      <c r="C12" s="39" t="n"/>
    </row>
    <row r="13">
      <c r="A13" s="37" t="n"/>
      <c r="C13" s="39" t="n"/>
    </row>
    <row r="14">
      <c r="A14" s="37" t="n"/>
      <c r="C14" s="39" t="n"/>
    </row>
    <row r="15">
      <c r="A15" s="37" t="n"/>
      <c r="C15" s="39" t="n"/>
    </row>
    <row r="16">
      <c r="A16" s="37" t="n"/>
      <c r="C16" s="39" t="n"/>
    </row>
    <row r="17">
      <c r="A17" s="37" t="n"/>
      <c r="C17" s="39" t="n"/>
    </row>
    <row r="18">
      <c r="A18" s="37" t="n"/>
      <c r="C18" s="39" t="n"/>
    </row>
    <row r="19">
      <c r="A19" s="37" t="n"/>
      <c r="C19" s="39" t="n"/>
    </row>
    <row r="20">
      <c r="A20" s="37" t="n"/>
      <c r="C20" s="39" t="n"/>
    </row>
    <row r="21">
      <c r="A21" s="37" t="n"/>
      <c r="C21" s="39" t="n"/>
    </row>
    <row r="22">
      <c r="A22" s="37" t="n"/>
      <c r="C22" s="39" t="n"/>
    </row>
    <row r="23">
      <c r="A23" s="37" t="n"/>
      <c r="C23" s="39" t="n"/>
    </row>
    <row r="24">
      <c r="A24" s="37" t="n"/>
      <c r="C24" s="39" t="n"/>
    </row>
    <row r="25">
      <c r="A25" s="37" t="n"/>
      <c r="C25" s="39" t="n"/>
    </row>
    <row r="26">
      <c r="A26" s="37" t="n"/>
      <c r="C26" s="39" t="n"/>
    </row>
    <row r="27">
      <c r="A27" s="37" t="n"/>
      <c r="C27" s="39" t="n"/>
    </row>
    <row r="28">
      <c r="A28" s="37" t="n"/>
      <c r="C28" s="39" t="n"/>
    </row>
    <row r="29">
      <c r="A29" s="37" t="n"/>
      <c r="C29" s="39" t="n"/>
    </row>
    <row r="30">
      <c r="A30" s="37" t="n"/>
      <c r="C30" s="39" t="n"/>
    </row>
    <row r="31">
      <c r="A31" s="37" t="n"/>
      <c r="C31" s="39" t="n"/>
    </row>
    <row r="32">
      <c r="A32" s="37" t="n"/>
      <c r="C32" s="39" t="n"/>
    </row>
    <row r="33">
      <c r="A33" s="37" t="n"/>
      <c r="C33" s="39" t="n"/>
    </row>
    <row r="34">
      <c r="A34" s="37" t="n"/>
      <c r="C34" s="39" t="n"/>
    </row>
    <row r="35">
      <c r="A35" s="37" t="n"/>
      <c r="C35" s="39" t="n"/>
    </row>
    <row r="36">
      <c r="A36" s="37" t="n"/>
      <c r="C36" s="39" t="n"/>
    </row>
    <row r="37">
      <c r="A37" s="37" t="n"/>
      <c r="C37" s="39" t="n"/>
    </row>
    <row r="38">
      <c r="A38" s="37" t="n"/>
      <c r="C38" s="39" t="n"/>
    </row>
    <row r="39">
      <c r="A39" s="37" t="n"/>
      <c r="C39" s="39" t="n"/>
    </row>
    <row r="40">
      <c r="A40" s="37" t="n"/>
      <c r="C40" s="39" t="n"/>
    </row>
    <row r="41">
      <c r="A41" s="37" t="n"/>
      <c r="C41" s="39" t="n"/>
    </row>
    <row r="42">
      <c r="A42" s="37" t="n"/>
      <c r="C42" s="39" t="n"/>
    </row>
    <row r="43">
      <c r="A43" s="37" t="n"/>
      <c r="C43" s="39" t="n"/>
    </row>
    <row r="44">
      <c r="A44" s="37" t="n"/>
      <c r="C44" s="39" t="n"/>
    </row>
    <row r="45">
      <c r="A45" s="37" t="n"/>
      <c r="C45" s="39" t="n"/>
    </row>
    <row r="46">
      <c r="A46" s="37" t="n"/>
      <c r="C46" s="39" t="n"/>
    </row>
    <row r="47">
      <c r="A47" s="37" t="n"/>
      <c r="C47" s="39" t="n"/>
    </row>
    <row r="48">
      <c r="A48" s="37" t="n"/>
      <c r="C48" s="39" t="n"/>
    </row>
    <row r="49">
      <c r="A49" s="37" t="n"/>
      <c r="C49" s="39" t="n"/>
    </row>
    <row r="50">
      <c r="A50" s="37" t="n"/>
      <c r="C50" s="39" t="n"/>
    </row>
    <row r="51">
      <c r="A51" s="37" t="n"/>
      <c r="C51" s="39" t="n"/>
    </row>
    <row r="52">
      <c r="A52" s="37" t="n"/>
      <c r="C52" s="39" t="n"/>
    </row>
    <row r="53">
      <c r="A53" s="37" t="n"/>
      <c r="C53" s="39" t="n"/>
    </row>
    <row r="54">
      <c r="A54" s="37" t="n"/>
      <c r="C54" s="39" t="n"/>
    </row>
    <row r="55">
      <c r="A55" s="37" t="n"/>
      <c r="C55" s="39" t="n"/>
    </row>
    <row r="56">
      <c r="A56" s="37" t="n"/>
      <c r="C56" s="39" t="n"/>
    </row>
    <row r="57">
      <c r="A57" s="37" t="n"/>
      <c r="C57" s="39" t="n"/>
    </row>
    <row r="58">
      <c r="A58" s="37" t="n"/>
      <c r="C58" s="39" t="n"/>
    </row>
    <row r="59">
      <c r="A59" s="37" t="n"/>
      <c r="C59" s="39" t="n"/>
    </row>
    <row r="60">
      <c r="A60" s="37" t="n"/>
      <c r="C60" s="39" t="n"/>
    </row>
    <row r="61">
      <c r="A61" s="37" t="n"/>
      <c r="C61" s="39" t="n"/>
    </row>
    <row r="62">
      <c r="A62" s="37" t="n"/>
      <c r="C62" s="39" t="n"/>
    </row>
    <row r="63">
      <c r="A63" s="37" t="n"/>
      <c r="C63" s="39" t="n"/>
    </row>
    <row r="64">
      <c r="A64" s="37" t="n"/>
      <c r="C64" s="39" t="n"/>
    </row>
    <row r="65">
      <c r="A65" s="37" t="n"/>
      <c r="C65" s="39" t="n"/>
    </row>
    <row r="66">
      <c r="A66" s="37" t="n"/>
      <c r="C66" s="39" t="n"/>
    </row>
    <row r="67">
      <c r="A67" s="37" t="n"/>
      <c r="C67" s="39" t="n"/>
    </row>
    <row r="68">
      <c r="A68" s="37" t="n"/>
      <c r="C68" s="39" t="n"/>
    </row>
    <row r="69">
      <c r="A69" s="37" t="n"/>
      <c r="C69" s="39" t="n"/>
    </row>
    <row r="70">
      <c r="A70" s="37" t="n"/>
      <c r="C70" s="39" t="n"/>
    </row>
    <row r="71">
      <c r="A71" s="37" t="n"/>
      <c r="C71" s="39" t="n"/>
    </row>
    <row r="72">
      <c r="A72" s="37" t="n"/>
      <c r="C72" s="39" t="n"/>
    </row>
    <row r="73">
      <c r="A73" s="37" t="n"/>
      <c r="C73" s="39" t="n"/>
    </row>
    <row r="74">
      <c r="A74" s="37" t="n"/>
      <c r="C74" s="39" t="n"/>
    </row>
    <row r="75">
      <c r="A75" s="37" t="n"/>
      <c r="C75" s="39" t="n"/>
    </row>
    <row r="76">
      <c r="A76" s="37" t="n"/>
      <c r="C76" s="39" t="n"/>
    </row>
    <row r="77">
      <c r="A77" s="37" t="n"/>
      <c r="C77" s="39" t="n"/>
    </row>
    <row r="78">
      <c r="A78" s="37" t="n"/>
      <c r="C78" s="39" t="n"/>
    </row>
    <row r="79">
      <c r="A79" s="37" t="n"/>
      <c r="C79" s="39" t="n"/>
    </row>
    <row r="80">
      <c r="A80" s="37" t="n"/>
      <c r="C80" s="39" t="n"/>
    </row>
    <row r="81">
      <c r="A81" s="37" t="n"/>
      <c r="C81" s="39" t="n"/>
    </row>
    <row r="82">
      <c r="A82" s="37" t="n"/>
      <c r="C82" s="39" t="n"/>
    </row>
    <row r="83">
      <c r="A83" s="37" t="n"/>
      <c r="C83" s="39" t="n"/>
    </row>
    <row r="84">
      <c r="A84" s="37" t="n"/>
      <c r="C84" s="39" t="n"/>
    </row>
    <row r="85">
      <c r="A85" s="37" t="n"/>
      <c r="C85" s="39" t="n"/>
    </row>
    <row r="86">
      <c r="A86" s="37" t="n"/>
      <c r="C86" s="39" t="n"/>
    </row>
    <row r="87">
      <c r="A87" s="37" t="n"/>
      <c r="C87" s="39" t="n"/>
    </row>
    <row r="88">
      <c r="A88" s="37" t="n"/>
      <c r="C88" s="39" t="n"/>
    </row>
    <row r="89">
      <c r="A89" s="37" t="n"/>
      <c r="C89" s="39" t="n"/>
    </row>
    <row r="90">
      <c r="A90" s="37" t="n"/>
      <c r="C90" s="39" t="n"/>
    </row>
    <row r="91">
      <c r="A91" s="37" t="n"/>
      <c r="C91" s="39" t="n"/>
    </row>
    <row r="92">
      <c r="A92" s="37" t="n"/>
      <c r="C92" s="39" t="n"/>
    </row>
    <row r="93">
      <c r="A93" s="37" t="n"/>
      <c r="C93" s="39" t="n"/>
    </row>
    <row r="94">
      <c r="A94" s="37" t="n"/>
      <c r="C94" s="39" t="n"/>
    </row>
    <row r="95">
      <c r="A95" s="37" t="n"/>
      <c r="C95" s="39" t="n"/>
    </row>
    <row r="96">
      <c r="A96" s="37" t="n"/>
      <c r="C96" s="39" t="n"/>
    </row>
    <row r="97">
      <c r="A97" s="37" t="n"/>
      <c r="C97" s="39" t="n"/>
    </row>
    <row r="98">
      <c r="A98" s="37" t="n"/>
      <c r="C98" s="39" t="n"/>
    </row>
    <row r="99">
      <c r="A99" s="37" t="n"/>
      <c r="C99" s="39" t="n"/>
    </row>
    <row r="100">
      <c r="A100" s="37" t="n"/>
      <c r="C100" s="39" t="n"/>
    </row>
    <row r="101">
      <c r="A101" s="37" t="n"/>
      <c r="C101" s="39" t="n"/>
    </row>
    <row r="102">
      <c r="A102" s="37" t="n"/>
      <c r="C102" s="39" t="n"/>
    </row>
    <row r="103">
      <c r="A103" s="37" t="n"/>
      <c r="C103" s="39" t="n"/>
    </row>
    <row r="104">
      <c r="A104" s="37" t="n"/>
      <c r="C104" s="39" t="n"/>
    </row>
    <row r="105">
      <c r="A105" s="37" t="n"/>
      <c r="C105" s="39" t="n"/>
    </row>
    <row r="106">
      <c r="A106" s="37" t="n"/>
      <c r="C106" s="39" t="n"/>
    </row>
    <row r="107">
      <c r="A107" s="37" t="n"/>
      <c r="C107" s="39" t="n"/>
    </row>
    <row r="108">
      <c r="A108" s="37" t="n"/>
      <c r="C108" s="39" t="n"/>
    </row>
    <row r="109">
      <c r="A109" s="37" t="n"/>
      <c r="C109" s="39" t="n"/>
    </row>
    <row r="110">
      <c r="A110" s="37" t="n"/>
      <c r="C110" s="39" t="n"/>
    </row>
    <row r="111">
      <c r="A111" s="37" t="n"/>
      <c r="C111" s="39" t="n"/>
    </row>
    <row r="112">
      <c r="A112" s="37" t="n"/>
      <c r="C112" s="39" t="n"/>
    </row>
    <row r="113">
      <c r="A113" s="37" t="n"/>
      <c r="C113" s="39" t="n"/>
    </row>
    <row r="114">
      <c r="A114" s="37" t="n"/>
      <c r="C114" s="39" t="n"/>
    </row>
    <row r="115">
      <c r="A115" s="37" t="n"/>
      <c r="C115" s="39" t="n"/>
    </row>
    <row r="116">
      <c r="A116" s="37" t="n"/>
      <c r="C116" s="39" t="n"/>
    </row>
    <row r="117">
      <c r="A117" s="37" t="n"/>
      <c r="C117" s="39" t="n"/>
    </row>
    <row r="118">
      <c r="A118" s="37" t="n"/>
      <c r="C118" s="39" t="n"/>
    </row>
    <row r="119">
      <c r="A119" s="37" t="n"/>
      <c r="C119" s="39" t="n"/>
    </row>
    <row r="120">
      <c r="A120" s="37" t="n"/>
      <c r="C120" s="39" t="n"/>
    </row>
    <row r="121">
      <c r="A121" s="37" t="n"/>
      <c r="C121" s="39" t="n"/>
    </row>
    <row r="122">
      <c r="A122" s="37" t="n"/>
      <c r="C122" s="39" t="n"/>
    </row>
    <row r="123">
      <c r="A123" s="37" t="n"/>
      <c r="C123" s="39" t="n"/>
    </row>
    <row r="124">
      <c r="A124" s="37" t="n"/>
      <c r="C124" s="39" t="n"/>
    </row>
    <row r="125">
      <c r="A125" s="37" t="n"/>
      <c r="C125" s="39" t="n"/>
    </row>
    <row r="126">
      <c r="A126" s="37" t="n"/>
      <c r="C126" s="39" t="n"/>
    </row>
    <row r="127">
      <c r="A127" s="37" t="n"/>
      <c r="C127" s="39" t="n"/>
    </row>
    <row r="128">
      <c r="A128" s="37" t="n"/>
      <c r="C128" s="39" t="n"/>
    </row>
    <row r="129">
      <c r="A129" s="37" t="n"/>
      <c r="C129" s="39" t="n"/>
    </row>
    <row r="130">
      <c r="A130" s="37" t="n"/>
      <c r="C130" s="39" t="n"/>
    </row>
    <row r="131">
      <c r="A131" s="37" t="n"/>
      <c r="C131" s="39" t="n"/>
    </row>
    <row r="132">
      <c r="A132" s="37" t="n"/>
      <c r="C132" s="39" t="n"/>
    </row>
    <row r="133">
      <c r="A133" s="37" t="n"/>
      <c r="C133" s="39" t="n"/>
    </row>
    <row r="134">
      <c r="A134" s="37" t="n"/>
      <c r="C134" s="39" t="n"/>
    </row>
    <row r="135">
      <c r="A135" s="37" t="n"/>
      <c r="C135" s="39" t="n"/>
    </row>
    <row r="136">
      <c r="A136" s="37" t="n"/>
      <c r="C136" s="39" t="n"/>
    </row>
    <row r="137">
      <c r="A137" s="37" t="n"/>
      <c r="C137" s="39" t="n"/>
    </row>
    <row r="138">
      <c r="A138" s="37" t="n"/>
      <c r="C138" s="39" t="n"/>
    </row>
    <row r="139">
      <c r="A139" s="37" t="n"/>
      <c r="C139" s="39" t="n"/>
    </row>
    <row r="140">
      <c r="A140" s="37" t="n"/>
      <c r="C140" s="39" t="n"/>
    </row>
    <row r="141">
      <c r="A141" s="37" t="n"/>
      <c r="C141" s="39" t="n"/>
    </row>
    <row r="142">
      <c r="A142" s="37" t="n"/>
      <c r="C142" s="39" t="n"/>
    </row>
    <row r="143">
      <c r="A143" s="37" t="n"/>
      <c r="C143" s="39" t="n"/>
    </row>
    <row r="144">
      <c r="A144" s="37" t="n"/>
      <c r="C144" s="39" t="n"/>
    </row>
    <row r="145">
      <c r="A145" s="37" t="n"/>
      <c r="C145" s="39" t="n"/>
    </row>
    <row r="146">
      <c r="A146" s="37" t="n"/>
      <c r="C146" s="39" t="n"/>
    </row>
    <row r="147">
      <c r="A147" s="37" t="n"/>
      <c r="C147" s="39" t="n"/>
    </row>
    <row r="148">
      <c r="A148" s="37" t="n"/>
      <c r="C148" s="39" t="n"/>
    </row>
    <row r="149">
      <c r="A149" s="37" t="n"/>
      <c r="C149" s="39" t="n"/>
    </row>
    <row r="150">
      <c r="A150" s="37" t="n"/>
      <c r="C150" s="39" t="n"/>
    </row>
    <row r="151">
      <c r="A151" s="37" t="n"/>
      <c r="C151" s="39" t="n"/>
    </row>
    <row r="152">
      <c r="A152" s="37" t="n"/>
      <c r="C152" s="39" t="n"/>
    </row>
    <row r="153">
      <c r="A153" s="37" t="n"/>
      <c r="C153" s="39" t="n"/>
    </row>
    <row r="154">
      <c r="A154" s="37" t="n"/>
      <c r="C154" s="39" t="n"/>
    </row>
    <row r="155">
      <c r="A155" s="37" t="n"/>
      <c r="C155" s="39" t="n"/>
    </row>
    <row r="156">
      <c r="A156" s="37" t="n"/>
      <c r="C156" s="39" t="n"/>
    </row>
    <row r="157">
      <c r="A157" s="37" t="n"/>
      <c r="C157" s="39" t="n"/>
    </row>
    <row r="158">
      <c r="A158" s="37" t="n"/>
      <c r="C158" s="39" t="n"/>
    </row>
    <row r="159">
      <c r="A159" s="37" t="n"/>
      <c r="C159" s="39" t="n"/>
    </row>
    <row r="160">
      <c r="A160" s="37" t="n"/>
      <c r="C160" s="39" t="n"/>
    </row>
    <row r="161">
      <c r="A161" s="37" t="n"/>
      <c r="C161" s="39" t="n"/>
    </row>
    <row r="162">
      <c r="A162" s="37" t="n"/>
      <c r="C162" s="39" t="n"/>
    </row>
    <row r="163">
      <c r="A163" s="37" t="n"/>
      <c r="C163" s="39" t="n"/>
    </row>
    <row r="164">
      <c r="A164" s="37" t="n"/>
      <c r="C164" s="39" t="n"/>
    </row>
    <row r="165">
      <c r="A165" s="37" t="n"/>
      <c r="C165" s="39" t="n"/>
    </row>
    <row r="166">
      <c r="A166" s="37" t="n"/>
      <c r="C166" s="39" t="n"/>
    </row>
    <row r="167">
      <c r="A167" s="37" t="n"/>
      <c r="C167" s="39" t="n"/>
    </row>
    <row r="168">
      <c r="A168" s="37" t="n"/>
      <c r="C168" s="39" t="n"/>
    </row>
    <row r="169">
      <c r="A169" s="37" t="n"/>
      <c r="C169" s="39" t="n"/>
    </row>
    <row r="170">
      <c r="A170" s="37" t="n"/>
      <c r="C170" s="39" t="n"/>
    </row>
    <row r="171">
      <c r="A171" s="37" t="n"/>
      <c r="C171" s="39" t="n"/>
    </row>
    <row r="172">
      <c r="A172" s="37" t="n"/>
      <c r="C172" s="39" t="n"/>
    </row>
    <row r="173">
      <c r="A173" s="37" t="n"/>
      <c r="C173" s="39" t="n"/>
    </row>
    <row r="174">
      <c r="A174" s="37" t="n"/>
      <c r="C174" s="39" t="n"/>
    </row>
    <row r="175">
      <c r="A175" s="37" t="n"/>
      <c r="C175" s="39" t="n"/>
    </row>
    <row r="176">
      <c r="A176" s="37" t="n"/>
      <c r="C176" s="39" t="n"/>
    </row>
    <row r="177">
      <c r="A177" s="37" t="n"/>
      <c r="C177" s="39" t="n"/>
    </row>
    <row r="178">
      <c r="A178" s="37" t="n"/>
      <c r="C178" s="39" t="n"/>
    </row>
    <row r="179">
      <c r="A179" s="37" t="n"/>
      <c r="C179" s="39" t="n"/>
    </row>
    <row r="180">
      <c r="A180" s="37" t="n"/>
      <c r="C180" s="39" t="n"/>
    </row>
    <row r="181">
      <c r="A181" s="37" t="n"/>
      <c r="C181" s="39" t="n"/>
    </row>
    <row r="182">
      <c r="A182" s="37" t="n"/>
      <c r="C182" s="39" t="n"/>
    </row>
    <row r="183">
      <c r="A183" s="37" t="n"/>
      <c r="C183" s="39" t="n"/>
    </row>
    <row r="184">
      <c r="A184" s="37" t="n"/>
      <c r="C184" s="39" t="n"/>
    </row>
    <row r="185">
      <c r="A185" s="37" t="n"/>
      <c r="C185" s="39" t="n"/>
    </row>
    <row r="186">
      <c r="A186" s="37" t="n"/>
      <c r="C186" s="39" t="n"/>
    </row>
    <row r="187">
      <c r="A187" s="37" t="n"/>
      <c r="C187" s="39" t="n"/>
    </row>
    <row r="188">
      <c r="A188" s="37" t="n"/>
      <c r="C188" s="39" t="n"/>
    </row>
    <row r="189">
      <c r="A189" s="37" t="n"/>
      <c r="C189" s="39" t="n"/>
    </row>
    <row r="190">
      <c r="A190" s="37" t="n"/>
      <c r="C190" s="39" t="n"/>
    </row>
    <row r="191">
      <c r="A191" s="37" t="n"/>
      <c r="C191" s="39" t="n"/>
    </row>
    <row r="192">
      <c r="A192" s="37" t="n"/>
      <c r="C192" s="39" t="n"/>
    </row>
    <row r="193">
      <c r="A193" s="37" t="n"/>
      <c r="C193" s="39" t="n"/>
    </row>
    <row r="194">
      <c r="A194" s="37" t="n"/>
      <c r="C194" s="39" t="n"/>
    </row>
    <row r="195">
      <c r="A195" s="37" t="n"/>
      <c r="C195" s="39" t="n"/>
    </row>
    <row r="196">
      <c r="A196" s="37" t="n"/>
      <c r="C196" s="39" t="n"/>
    </row>
    <row r="197">
      <c r="A197" s="37" t="n"/>
      <c r="C197" s="39" t="n"/>
    </row>
    <row r="198">
      <c r="A198" s="37" t="n"/>
      <c r="C198" s="39" t="n"/>
    </row>
    <row r="199">
      <c r="A199" s="37" t="n"/>
      <c r="C199" s="39" t="n"/>
    </row>
    <row r="200">
      <c r="A200" s="37" t="n"/>
      <c r="C200" s="39" t="n"/>
    </row>
    <row r="201">
      <c r="A201" s="37" t="n"/>
      <c r="C201" s="39" t="n"/>
    </row>
    <row r="202">
      <c r="A202" s="37" t="n"/>
      <c r="C202" s="39" t="n"/>
    </row>
    <row r="203">
      <c r="A203" s="37" t="n"/>
      <c r="C203" s="39" t="n"/>
    </row>
    <row r="204">
      <c r="A204" s="37" t="n"/>
      <c r="C204" s="39" t="n"/>
    </row>
    <row r="205">
      <c r="A205" s="37" t="n"/>
      <c r="C205" s="39" t="n"/>
    </row>
    <row r="206">
      <c r="A206" s="37" t="n"/>
      <c r="C206" s="39" t="n"/>
    </row>
    <row r="207">
      <c r="A207" s="37" t="n"/>
      <c r="C207" s="39" t="n"/>
    </row>
    <row r="208">
      <c r="A208" s="37" t="n"/>
      <c r="C208" s="39" t="n"/>
    </row>
    <row r="209">
      <c r="A209" s="37" t="n"/>
      <c r="C209" s="39" t="n"/>
    </row>
    <row r="210">
      <c r="A210" s="37" t="n"/>
      <c r="C210" s="39" t="n"/>
    </row>
    <row r="211">
      <c r="A211" s="37" t="n"/>
      <c r="C211" s="39" t="n"/>
    </row>
    <row r="212">
      <c r="A212" s="37" t="n"/>
      <c r="C212" s="39" t="n"/>
    </row>
    <row r="213">
      <c r="A213" s="37" t="n"/>
      <c r="C213" s="39" t="n"/>
    </row>
    <row r="214">
      <c r="A214" s="37" t="n"/>
      <c r="C214" s="39" t="n"/>
    </row>
    <row r="215">
      <c r="A215" s="37" t="n"/>
      <c r="C215" s="39" t="n"/>
    </row>
    <row r="216">
      <c r="A216" s="37" t="n"/>
      <c r="C216" s="39" t="n"/>
    </row>
    <row r="217">
      <c r="A217" s="37" t="n"/>
      <c r="C217" s="39" t="n"/>
    </row>
    <row r="218">
      <c r="A218" s="37" t="n"/>
      <c r="C218" s="39" t="n"/>
    </row>
    <row r="219">
      <c r="A219" s="37" t="n"/>
      <c r="C219" s="39" t="n"/>
    </row>
    <row r="220">
      <c r="A220" s="37" t="n"/>
      <c r="C220" s="39" t="n"/>
    </row>
    <row r="221">
      <c r="A221" s="37" t="n"/>
      <c r="C221" s="39" t="n"/>
    </row>
    <row r="222">
      <c r="A222" s="37" t="n"/>
      <c r="C222" s="39" t="n"/>
    </row>
    <row r="223">
      <c r="A223" s="37" t="n"/>
      <c r="C223" s="39" t="n"/>
    </row>
    <row r="224">
      <c r="A224" s="37" t="n"/>
      <c r="C224" s="39" t="n"/>
    </row>
    <row r="225">
      <c r="A225" s="37" t="n"/>
      <c r="C225" s="39" t="n"/>
    </row>
    <row r="226">
      <c r="A226" s="37" t="n"/>
      <c r="C226" s="39" t="n"/>
    </row>
    <row r="227">
      <c r="A227" s="37" t="n"/>
      <c r="C227" s="39" t="n"/>
    </row>
    <row r="228">
      <c r="A228" s="37" t="n"/>
      <c r="C228" s="39" t="n"/>
    </row>
    <row r="229">
      <c r="A229" s="37" t="n"/>
      <c r="C229" s="39" t="n"/>
    </row>
    <row r="230">
      <c r="A230" s="37" t="n"/>
      <c r="C230" s="39" t="n"/>
    </row>
    <row r="231">
      <c r="A231" s="37" t="n"/>
      <c r="C231" s="39" t="n"/>
    </row>
    <row r="232">
      <c r="A232" s="37" t="n"/>
      <c r="C232" s="39" t="n"/>
    </row>
    <row r="233">
      <c r="A233" s="37" t="n"/>
      <c r="C233" s="39" t="n"/>
    </row>
    <row r="234">
      <c r="A234" s="37" t="n"/>
      <c r="C234" s="39" t="n"/>
    </row>
    <row r="235">
      <c r="A235" s="37" t="n"/>
      <c r="C235" s="39" t="n"/>
    </row>
    <row r="236">
      <c r="A236" s="37" t="n"/>
      <c r="C236" s="39" t="n"/>
    </row>
    <row r="237">
      <c r="A237" s="37" t="n"/>
      <c r="C237" s="39" t="n"/>
    </row>
    <row r="238">
      <c r="A238" s="37" t="n"/>
      <c r="C238" s="39" t="n"/>
    </row>
    <row r="239">
      <c r="A239" s="37" t="n"/>
      <c r="C239" s="39" t="n"/>
    </row>
    <row r="240">
      <c r="A240" s="37" t="n"/>
      <c r="C240" s="39" t="n"/>
    </row>
    <row r="241">
      <c r="A241" s="37" t="n"/>
      <c r="C241" s="39" t="n"/>
    </row>
    <row r="242">
      <c r="A242" s="37" t="n"/>
      <c r="C242" s="39" t="n"/>
    </row>
    <row r="243">
      <c r="A243" s="37" t="n"/>
      <c r="C243" s="39" t="n"/>
    </row>
    <row r="244">
      <c r="A244" s="37" t="n"/>
      <c r="C244" s="39" t="n"/>
    </row>
    <row r="245">
      <c r="A245" s="37" t="n"/>
      <c r="C245" s="39" t="n"/>
    </row>
    <row r="246">
      <c r="A246" s="37" t="n"/>
      <c r="C246" s="39" t="n"/>
    </row>
    <row r="247">
      <c r="A247" s="37" t="n"/>
      <c r="C247" s="39" t="n"/>
    </row>
    <row r="248">
      <c r="A248" s="37" t="n"/>
      <c r="C248" s="39" t="n"/>
    </row>
    <row r="249">
      <c r="A249" s="37" t="n"/>
      <c r="C249" s="39" t="n"/>
    </row>
    <row r="250">
      <c r="A250" s="37" t="n"/>
      <c r="C250" s="39" t="n"/>
    </row>
    <row r="251">
      <c r="A251" s="37" t="n"/>
      <c r="C251" s="39" t="n"/>
    </row>
    <row r="252">
      <c r="A252" s="37" t="n"/>
      <c r="C252" s="39" t="n"/>
    </row>
    <row r="253">
      <c r="A253" s="37" t="n"/>
      <c r="C253" s="39" t="n"/>
    </row>
    <row r="254">
      <c r="A254" s="37" t="n"/>
      <c r="C254" s="39" t="n"/>
    </row>
    <row r="255">
      <c r="A255" s="37" t="n"/>
      <c r="C255" s="39" t="n"/>
    </row>
    <row r="256">
      <c r="A256" s="37" t="n"/>
      <c r="C256" s="39" t="n"/>
    </row>
    <row r="257">
      <c r="A257" s="37" t="n"/>
      <c r="C257" s="39" t="n"/>
    </row>
    <row r="258">
      <c r="A258" s="37" t="n"/>
      <c r="C258" s="39" t="n"/>
    </row>
    <row r="259">
      <c r="A259" s="37" t="n"/>
      <c r="C259" s="39" t="n"/>
    </row>
    <row r="260">
      <c r="A260" s="37" t="n"/>
      <c r="C260" s="39" t="n"/>
    </row>
    <row r="261">
      <c r="A261" s="37" t="n"/>
      <c r="C261" s="39" t="n"/>
    </row>
    <row r="262">
      <c r="A262" s="37" t="n"/>
      <c r="C262" s="39" t="n"/>
    </row>
    <row r="263">
      <c r="A263" s="37" t="n"/>
      <c r="C263" s="39" t="n"/>
    </row>
    <row r="264">
      <c r="A264" s="37" t="n"/>
      <c r="C264" s="39" t="n"/>
    </row>
    <row r="265">
      <c r="A265" s="37" t="n"/>
      <c r="C265" s="39" t="n"/>
    </row>
    <row r="266">
      <c r="A266" s="37" t="n"/>
      <c r="C266" s="39" t="n"/>
    </row>
    <row r="267">
      <c r="A267" s="37" t="n"/>
      <c r="C267" s="39" t="n"/>
    </row>
    <row r="268">
      <c r="A268" s="37" t="n"/>
      <c r="C268" s="39" t="n"/>
    </row>
    <row r="269">
      <c r="A269" s="37" t="n"/>
      <c r="C269" s="39" t="n"/>
    </row>
    <row r="270">
      <c r="A270" s="37" t="n"/>
      <c r="C270" s="39" t="n"/>
    </row>
    <row r="271">
      <c r="A271" s="37" t="n"/>
      <c r="C271" s="39" t="n"/>
    </row>
    <row r="272">
      <c r="A272" s="37" t="n"/>
      <c r="C272" s="39" t="n"/>
    </row>
    <row r="273">
      <c r="A273" s="37" t="n"/>
      <c r="C273" s="39" t="n"/>
    </row>
    <row r="274">
      <c r="A274" s="37" t="n"/>
      <c r="C274" s="39" t="n"/>
    </row>
    <row r="275">
      <c r="A275" s="37" t="n"/>
      <c r="C275" s="39" t="n"/>
    </row>
    <row r="276">
      <c r="A276" s="37" t="n"/>
      <c r="C276" s="39" t="n"/>
    </row>
    <row r="277">
      <c r="A277" s="37" t="n"/>
      <c r="C277" s="39" t="n"/>
    </row>
    <row r="278">
      <c r="A278" s="37" t="n"/>
      <c r="C278" s="39" t="n"/>
    </row>
    <row r="279">
      <c r="A279" s="37" t="n"/>
      <c r="C279" s="39" t="n"/>
    </row>
    <row r="280">
      <c r="A280" s="37" t="n"/>
      <c r="C280" s="39" t="n"/>
    </row>
    <row r="281">
      <c r="A281" s="37" t="n"/>
      <c r="C281" s="39" t="n"/>
    </row>
    <row r="282">
      <c r="A282" s="37" t="n"/>
      <c r="C282" s="39" t="n"/>
    </row>
    <row r="283">
      <c r="A283" s="37" t="n"/>
      <c r="C283" s="39" t="n"/>
    </row>
    <row r="284">
      <c r="A284" s="37" t="n"/>
      <c r="C284" s="39" t="n"/>
    </row>
    <row r="285">
      <c r="A285" s="37" t="n"/>
      <c r="C285" s="39" t="n"/>
    </row>
    <row r="286">
      <c r="A286" s="37" t="n"/>
      <c r="C286" s="39" t="n"/>
    </row>
    <row r="287">
      <c r="A287" s="37" t="n"/>
      <c r="C287" s="39" t="n"/>
    </row>
    <row r="288">
      <c r="A288" s="37" t="n"/>
      <c r="C288" s="39" t="n"/>
    </row>
    <row r="289">
      <c r="A289" s="37" t="n"/>
      <c r="C289" s="39" t="n"/>
    </row>
    <row r="290">
      <c r="A290" s="37" t="n"/>
      <c r="C290" s="39" t="n"/>
    </row>
    <row r="291">
      <c r="A291" s="37" t="n"/>
      <c r="C291" s="39" t="n"/>
    </row>
    <row r="292">
      <c r="A292" s="37" t="n"/>
      <c r="C292" s="39" t="n"/>
    </row>
    <row r="293">
      <c r="A293" s="37" t="n"/>
      <c r="C293" s="39" t="n"/>
    </row>
    <row r="294">
      <c r="A294" s="37" t="n"/>
      <c r="C294" s="39" t="n"/>
    </row>
    <row r="295">
      <c r="A295" s="37" t="n"/>
      <c r="C295" s="39" t="n"/>
    </row>
    <row r="296">
      <c r="A296" s="37" t="n"/>
      <c r="C296" s="39" t="n"/>
    </row>
    <row r="297">
      <c r="A297" s="37" t="n"/>
      <c r="C297" s="39" t="n"/>
    </row>
    <row r="298">
      <c r="A298" s="37" t="n"/>
      <c r="C298" s="39" t="n"/>
    </row>
    <row r="299">
      <c r="A299" s="37" t="n"/>
      <c r="C299" s="39" t="n"/>
    </row>
    <row r="300">
      <c r="A300" s="37" t="n"/>
      <c r="C300" s="39" t="n"/>
    </row>
    <row r="301">
      <c r="A301" s="37" t="n"/>
      <c r="C301" s="39" t="n"/>
    </row>
    <row r="302">
      <c r="A302" s="37" t="n"/>
      <c r="C302" s="39" t="n"/>
    </row>
    <row r="303">
      <c r="A303" s="37" t="n"/>
      <c r="C303" s="39" t="n"/>
    </row>
    <row r="304">
      <c r="A304" s="37" t="n"/>
      <c r="C304" s="39" t="n"/>
    </row>
    <row r="305">
      <c r="A305" s="37" t="n"/>
      <c r="C305" s="39" t="n"/>
    </row>
    <row r="306">
      <c r="A306" s="37" t="n"/>
      <c r="C306" s="39" t="n"/>
    </row>
    <row r="307">
      <c r="A307" s="37" t="n"/>
      <c r="C307" s="39" t="n"/>
    </row>
    <row r="308">
      <c r="A308" s="37" t="n"/>
      <c r="C308" s="39" t="n"/>
    </row>
    <row r="309">
      <c r="A309" s="37" t="n"/>
      <c r="C309" s="39" t="n"/>
    </row>
    <row r="310">
      <c r="A310" s="37" t="n"/>
      <c r="C310" s="39" t="n"/>
    </row>
    <row r="311">
      <c r="A311" s="37" t="n"/>
      <c r="C311" s="39" t="n"/>
    </row>
    <row r="312">
      <c r="A312" s="37" t="n"/>
      <c r="C312" s="39" t="n"/>
    </row>
    <row r="313">
      <c r="A313" s="37" t="n"/>
      <c r="C313" s="39" t="n"/>
    </row>
    <row r="314">
      <c r="A314" s="37" t="n"/>
      <c r="C314" s="39" t="n"/>
    </row>
    <row r="315">
      <c r="A315" s="37" t="n"/>
      <c r="C315" s="39" t="n"/>
    </row>
    <row r="316">
      <c r="A316" s="37" t="n"/>
      <c r="C316" s="39" t="n"/>
    </row>
    <row r="317">
      <c r="A317" s="37" t="n"/>
      <c r="C317" s="39" t="n"/>
    </row>
    <row r="318">
      <c r="A318" s="37" t="n"/>
      <c r="C318" s="39" t="n"/>
    </row>
    <row r="319">
      <c r="A319" s="37" t="n"/>
      <c r="C319" s="39" t="n"/>
    </row>
    <row r="320">
      <c r="A320" s="37" t="n"/>
      <c r="C320" s="39" t="n"/>
    </row>
    <row r="321">
      <c r="A321" s="37" t="n"/>
      <c r="C321" s="39" t="n"/>
    </row>
    <row r="322">
      <c r="A322" s="37" t="n"/>
      <c r="C322" s="39" t="n"/>
    </row>
    <row r="323">
      <c r="A323" s="37" t="n"/>
      <c r="C323" s="39" t="n"/>
    </row>
    <row r="324">
      <c r="A324" s="37" t="n"/>
      <c r="C324" s="39" t="n"/>
    </row>
    <row r="325">
      <c r="A325" s="37" t="n"/>
      <c r="C325" s="39" t="n"/>
    </row>
    <row r="326">
      <c r="A326" s="37" t="n"/>
      <c r="C326" s="39" t="n"/>
    </row>
    <row r="327">
      <c r="A327" s="37" t="n"/>
      <c r="C327" s="39" t="n"/>
    </row>
    <row r="328">
      <c r="A328" s="37" t="n"/>
      <c r="C328" s="39" t="n"/>
    </row>
    <row r="329">
      <c r="A329" s="37" t="n"/>
      <c r="C329" s="39" t="n"/>
    </row>
    <row r="330">
      <c r="A330" s="37" t="n"/>
      <c r="C330" s="39" t="n"/>
    </row>
    <row r="331">
      <c r="A331" s="37" t="n"/>
      <c r="C331" s="39" t="n"/>
    </row>
    <row r="332">
      <c r="A332" s="37" t="n"/>
      <c r="C332" s="39" t="n"/>
    </row>
    <row r="333">
      <c r="A333" s="37" t="n"/>
      <c r="C333" s="39" t="n"/>
    </row>
    <row r="334">
      <c r="A334" s="37" t="n"/>
      <c r="C334" s="39" t="n"/>
    </row>
    <row r="335">
      <c r="A335" s="37" t="n"/>
      <c r="C335" s="39" t="n"/>
    </row>
    <row r="336">
      <c r="A336" s="37" t="n"/>
      <c r="C336" s="39" t="n"/>
    </row>
    <row r="337">
      <c r="A337" s="37" t="n"/>
      <c r="C337" s="39" t="n"/>
    </row>
    <row r="338">
      <c r="A338" s="37" t="n"/>
      <c r="C338" s="39" t="n"/>
    </row>
    <row r="339">
      <c r="A339" s="37" t="n"/>
      <c r="C339" s="39" t="n"/>
    </row>
    <row r="340">
      <c r="A340" s="37" t="n"/>
      <c r="C340" s="39" t="n"/>
    </row>
    <row r="341">
      <c r="A341" s="37" t="n"/>
      <c r="C341" s="39" t="n"/>
    </row>
    <row r="342">
      <c r="A342" s="37" t="n"/>
      <c r="C342" s="39" t="n"/>
    </row>
    <row r="343">
      <c r="A343" s="37" t="n"/>
      <c r="C343" s="39" t="n"/>
    </row>
    <row r="344">
      <c r="A344" s="37" t="n"/>
      <c r="C344" s="39" t="n"/>
    </row>
    <row r="345">
      <c r="A345" s="37" t="n"/>
      <c r="C345" s="39" t="n"/>
    </row>
    <row r="346">
      <c r="A346" s="37" t="n"/>
      <c r="C346" s="39" t="n"/>
    </row>
    <row r="347">
      <c r="A347" s="37" t="n"/>
      <c r="C347" s="39" t="n"/>
    </row>
    <row r="348">
      <c r="A348" s="37" t="n"/>
      <c r="C348" s="39" t="n"/>
    </row>
    <row r="349">
      <c r="A349" s="37" t="n"/>
      <c r="C349" s="39" t="n"/>
    </row>
    <row r="350">
      <c r="A350" s="37" t="n"/>
      <c r="C350" s="39" t="n"/>
    </row>
    <row r="351">
      <c r="A351" s="37" t="n"/>
      <c r="C351" s="39" t="n"/>
    </row>
    <row r="352">
      <c r="A352" s="37" t="n"/>
      <c r="C352" s="39" t="n"/>
    </row>
    <row r="353">
      <c r="A353" s="37" t="n"/>
      <c r="C353" s="39" t="n"/>
    </row>
    <row r="354">
      <c r="A354" s="37" t="n"/>
      <c r="C354" s="39" t="n"/>
    </row>
    <row r="355">
      <c r="A355" s="37" t="n"/>
      <c r="C355" s="39" t="n"/>
    </row>
    <row r="356">
      <c r="A356" s="37" t="n"/>
      <c r="C356" s="39" t="n"/>
    </row>
    <row r="357">
      <c r="A357" s="37" t="n"/>
      <c r="C357" s="39" t="n"/>
    </row>
    <row r="358">
      <c r="A358" s="37" t="n"/>
      <c r="C358" s="39" t="n"/>
    </row>
    <row r="359">
      <c r="A359" s="37" t="n"/>
      <c r="C359" s="39" t="n"/>
    </row>
    <row r="360">
      <c r="A360" s="37" t="n"/>
      <c r="C360" s="39" t="n"/>
    </row>
    <row r="361">
      <c r="A361" s="37" t="n"/>
      <c r="C361" s="39" t="n"/>
    </row>
    <row r="362">
      <c r="A362" s="37" t="n"/>
      <c r="C362" s="39" t="n"/>
    </row>
    <row r="363">
      <c r="A363" s="37" t="n"/>
      <c r="C363" s="39" t="n"/>
    </row>
    <row r="364">
      <c r="A364" s="37" t="n"/>
      <c r="C364" s="39" t="n"/>
    </row>
    <row r="365">
      <c r="A365" s="37" t="n"/>
      <c r="C365" s="39" t="n"/>
    </row>
    <row r="366">
      <c r="A366" s="37" t="n"/>
      <c r="C366" s="39" t="n"/>
    </row>
    <row r="367">
      <c r="A367" s="37" t="n"/>
      <c r="C367" s="39" t="n"/>
    </row>
    <row r="368">
      <c r="A368" s="37" t="n"/>
      <c r="C368" s="39" t="n"/>
    </row>
    <row r="369">
      <c r="A369" s="37" t="n"/>
      <c r="C369" s="39" t="n"/>
    </row>
    <row r="370">
      <c r="A370" s="37" t="n"/>
      <c r="C370" s="39" t="n"/>
    </row>
    <row r="371">
      <c r="A371" s="37" t="n"/>
      <c r="C371" s="39" t="n"/>
    </row>
    <row r="372">
      <c r="A372" s="37" t="n"/>
      <c r="C372" s="39" t="n"/>
    </row>
    <row r="373">
      <c r="A373" s="37" t="n"/>
      <c r="C373" s="39" t="n"/>
    </row>
    <row r="374">
      <c r="A374" s="37" t="n"/>
      <c r="C374" s="39" t="n"/>
    </row>
    <row r="375">
      <c r="A375" s="37" t="n"/>
      <c r="C375" s="39" t="n"/>
    </row>
    <row r="376">
      <c r="A376" s="37" t="n"/>
      <c r="C376" s="39" t="n"/>
    </row>
    <row r="377">
      <c r="A377" s="37" t="n"/>
      <c r="C377" s="39" t="n"/>
    </row>
    <row r="378">
      <c r="A378" s="37" t="n"/>
      <c r="C378" s="39" t="n"/>
    </row>
    <row r="379">
      <c r="A379" s="37" t="n"/>
      <c r="C379" s="39" t="n"/>
    </row>
    <row r="380">
      <c r="A380" s="37" t="n"/>
      <c r="C380" s="39" t="n"/>
    </row>
    <row r="381">
      <c r="A381" s="37" t="n"/>
      <c r="C381" s="39" t="n"/>
    </row>
    <row r="382">
      <c r="A382" s="37" t="n"/>
      <c r="C382" s="39" t="n"/>
    </row>
    <row r="383">
      <c r="A383" s="37" t="n"/>
      <c r="C383" s="39" t="n"/>
    </row>
    <row r="384">
      <c r="A384" s="37" t="n"/>
      <c r="C384" s="39" t="n"/>
    </row>
    <row r="385">
      <c r="A385" s="37" t="n"/>
      <c r="C385" s="39" t="n"/>
    </row>
    <row r="386">
      <c r="A386" s="37" t="n"/>
      <c r="C386" s="39" t="n"/>
    </row>
    <row r="387">
      <c r="A387" s="37" t="n"/>
      <c r="C387" s="39" t="n"/>
    </row>
    <row r="388">
      <c r="A388" s="37" t="n"/>
      <c r="C388" s="39" t="n"/>
    </row>
    <row r="389">
      <c r="A389" s="37" t="n"/>
      <c r="C389" s="39" t="n"/>
    </row>
    <row r="390">
      <c r="A390" s="37" t="n"/>
      <c r="C390" s="39" t="n"/>
    </row>
    <row r="391">
      <c r="A391" s="37" t="n"/>
      <c r="C391" s="39" t="n"/>
    </row>
    <row r="392">
      <c r="A392" s="37" t="n"/>
      <c r="C392" s="39" t="n"/>
    </row>
    <row r="393">
      <c r="A393" s="37" t="n"/>
      <c r="C393" s="39" t="n"/>
    </row>
    <row r="394">
      <c r="A394" s="37" t="n"/>
      <c r="C394" s="39" t="n"/>
    </row>
    <row r="395">
      <c r="A395" s="37" t="n"/>
      <c r="C395" s="39" t="n"/>
    </row>
    <row r="396">
      <c r="A396" s="37" t="n"/>
      <c r="C396" s="39" t="n"/>
    </row>
    <row r="397">
      <c r="A397" s="37" t="n"/>
      <c r="C397" s="39" t="n"/>
    </row>
    <row r="398">
      <c r="A398" s="37" t="n"/>
      <c r="C398" s="39" t="n"/>
    </row>
    <row r="399">
      <c r="A399" s="37" t="n"/>
      <c r="C399" s="39" t="n"/>
    </row>
    <row r="400">
      <c r="A400" s="37" t="n"/>
      <c r="C400" s="39" t="n"/>
    </row>
    <row r="401">
      <c r="A401" s="37" t="n"/>
      <c r="C401" s="39" t="n"/>
    </row>
    <row r="402">
      <c r="A402" s="37" t="n"/>
      <c r="C402" s="39" t="n"/>
    </row>
    <row r="403">
      <c r="A403" s="37" t="n"/>
      <c r="C403" s="39" t="n"/>
    </row>
    <row r="404">
      <c r="A404" s="37" t="n"/>
      <c r="C404" s="39" t="n"/>
    </row>
    <row r="405">
      <c r="A405" s="37" t="n"/>
      <c r="C405" s="39" t="n"/>
    </row>
    <row r="406">
      <c r="A406" s="37" t="n"/>
      <c r="C406" s="39" t="n"/>
    </row>
    <row r="407">
      <c r="A407" s="37" t="n"/>
      <c r="C407" s="39" t="n"/>
    </row>
    <row r="408">
      <c r="A408" s="37" t="n"/>
      <c r="C408" s="39" t="n"/>
    </row>
    <row r="409">
      <c r="A409" s="37" t="n"/>
      <c r="C409" s="39" t="n"/>
    </row>
    <row r="410">
      <c r="A410" s="37" t="n"/>
      <c r="C410" s="39" t="n"/>
    </row>
    <row r="411">
      <c r="A411" s="37" t="n"/>
      <c r="C411" s="39" t="n"/>
    </row>
    <row r="412">
      <c r="A412" s="37" t="n"/>
      <c r="C412" s="39" t="n"/>
    </row>
    <row r="413">
      <c r="A413" s="37" t="n"/>
      <c r="C413" s="39" t="n"/>
    </row>
    <row r="414">
      <c r="A414" s="37" t="n"/>
      <c r="C414" s="39" t="n"/>
    </row>
    <row r="415">
      <c r="A415" s="37" t="n"/>
      <c r="C415" s="39" t="n"/>
    </row>
    <row r="416">
      <c r="A416" s="37" t="n"/>
      <c r="C416" s="39" t="n"/>
    </row>
    <row r="417">
      <c r="A417" s="37" t="n"/>
      <c r="C417" s="39" t="n"/>
    </row>
    <row r="418">
      <c r="A418" s="37" t="n"/>
      <c r="C418" s="39" t="n"/>
    </row>
    <row r="419">
      <c r="A419" s="37" t="n"/>
      <c r="C419" s="39" t="n"/>
    </row>
    <row r="420">
      <c r="A420" s="37" t="n"/>
      <c r="C420" s="39" t="n"/>
    </row>
    <row r="421">
      <c r="A421" s="37" t="n"/>
      <c r="C421" s="39" t="n"/>
    </row>
    <row r="422">
      <c r="A422" s="37" t="n"/>
      <c r="C422" s="39" t="n"/>
    </row>
    <row r="423">
      <c r="A423" s="37" t="n"/>
      <c r="C423" s="39" t="n"/>
    </row>
    <row r="424">
      <c r="A424" s="37" t="n"/>
      <c r="C424" s="39" t="n"/>
    </row>
    <row r="425">
      <c r="A425" s="37" t="n"/>
      <c r="C425" s="39" t="n"/>
    </row>
    <row r="426">
      <c r="A426" s="37" t="n"/>
      <c r="C426" s="39" t="n"/>
    </row>
    <row r="427">
      <c r="A427" s="37" t="n"/>
      <c r="C427" s="39" t="n"/>
    </row>
    <row r="428">
      <c r="A428" s="37" t="n"/>
      <c r="C428" s="39" t="n"/>
    </row>
    <row r="429">
      <c r="A429" s="37" t="n"/>
      <c r="C429" s="39" t="n"/>
    </row>
    <row r="430">
      <c r="A430" s="37" t="n"/>
      <c r="C430" s="39" t="n"/>
    </row>
    <row r="431">
      <c r="A431" s="37" t="n"/>
      <c r="C431" s="39" t="n"/>
    </row>
    <row r="432">
      <c r="A432" s="37" t="n"/>
      <c r="C432" s="39" t="n"/>
    </row>
    <row r="433">
      <c r="A433" s="37" t="n"/>
      <c r="C433" s="39" t="n"/>
    </row>
    <row r="434">
      <c r="A434" s="37" t="n"/>
      <c r="C434" s="39" t="n"/>
    </row>
    <row r="435">
      <c r="A435" s="37" t="n"/>
      <c r="C435" s="39" t="n"/>
    </row>
    <row r="436">
      <c r="A436" s="37" t="n"/>
      <c r="C436" s="39" t="n"/>
    </row>
    <row r="437">
      <c r="A437" s="37" t="n"/>
      <c r="C437" s="39" t="n"/>
    </row>
    <row r="438">
      <c r="A438" s="37" t="n"/>
      <c r="C438" s="39" t="n"/>
    </row>
    <row r="439">
      <c r="A439" s="37" t="n"/>
      <c r="C439" s="39" t="n"/>
    </row>
    <row r="440">
      <c r="A440" s="37" t="n"/>
      <c r="C440" s="39" t="n"/>
    </row>
    <row r="441">
      <c r="A441" s="37" t="n"/>
      <c r="C441" s="39" t="n"/>
    </row>
    <row r="442">
      <c r="A442" s="37" t="n"/>
      <c r="C442" s="39" t="n"/>
    </row>
    <row r="443">
      <c r="A443" s="37" t="n"/>
      <c r="C443" s="39" t="n"/>
    </row>
    <row r="444">
      <c r="A444" s="37" t="n"/>
      <c r="C444" s="39" t="n"/>
    </row>
    <row r="445">
      <c r="A445" s="37" t="n"/>
      <c r="C445" s="39" t="n"/>
    </row>
    <row r="446">
      <c r="A446" s="37" t="n"/>
      <c r="C446" s="39" t="n"/>
    </row>
    <row r="447">
      <c r="A447" s="37" t="n"/>
      <c r="C447" s="39" t="n"/>
    </row>
    <row r="448">
      <c r="A448" s="37" t="n"/>
      <c r="C448" s="39" t="n"/>
    </row>
    <row r="449">
      <c r="A449" s="37" t="n"/>
      <c r="C449" s="39" t="n"/>
    </row>
    <row r="450">
      <c r="A450" s="37" t="n"/>
      <c r="C450" s="39" t="n"/>
    </row>
    <row r="451">
      <c r="A451" s="37" t="n"/>
      <c r="C451" s="39" t="n"/>
    </row>
    <row r="452">
      <c r="A452" s="37" t="n"/>
      <c r="C452" s="39" t="n"/>
    </row>
    <row r="453">
      <c r="A453" s="37" t="n"/>
      <c r="C453" s="39" t="n"/>
    </row>
    <row r="454">
      <c r="A454" s="37" t="n"/>
      <c r="C454" s="39" t="n"/>
    </row>
    <row r="455">
      <c r="A455" s="37" t="n"/>
      <c r="C455" s="39" t="n"/>
    </row>
    <row r="456">
      <c r="A456" s="37" t="n"/>
      <c r="C456" s="39" t="n"/>
    </row>
    <row r="457">
      <c r="A457" s="37" t="n"/>
      <c r="C457" s="39" t="n"/>
    </row>
    <row r="458">
      <c r="A458" s="37" t="n"/>
      <c r="C458" s="39" t="n"/>
    </row>
    <row r="459">
      <c r="A459" s="37" t="n"/>
      <c r="C459" s="39" t="n"/>
    </row>
    <row r="460">
      <c r="A460" s="37" t="n"/>
      <c r="C460" s="39" t="n"/>
    </row>
    <row r="461">
      <c r="A461" s="37" t="n"/>
      <c r="C461" s="39" t="n"/>
    </row>
    <row r="462">
      <c r="A462" s="37" t="n"/>
      <c r="C462" s="39" t="n"/>
    </row>
    <row r="463">
      <c r="A463" s="37" t="n"/>
      <c r="C463" s="39" t="n"/>
    </row>
    <row r="464">
      <c r="A464" s="37" t="n"/>
      <c r="C464" s="39" t="n"/>
    </row>
    <row r="465">
      <c r="A465" s="37" t="n"/>
      <c r="C465" s="39" t="n"/>
    </row>
    <row r="466">
      <c r="A466" s="37" t="n"/>
      <c r="C466" s="39" t="n"/>
    </row>
    <row r="467">
      <c r="A467" s="37" t="n"/>
      <c r="C467" s="39" t="n"/>
    </row>
    <row r="468">
      <c r="A468" s="37" t="n"/>
      <c r="C468" s="39" t="n"/>
    </row>
    <row r="469">
      <c r="A469" s="37" t="n"/>
      <c r="C469" s="39" t="n"/>
    </row>
    <row r="470">
      <c r="A470" s="37" t="n"/>
      <c r="C470" s="39" t="n"/>
    </row>
    <row r="471">
      <c r="A471" s="37" t="n"/>
      <c r="C471" s="39" t="n"/>
    </row>
    <row r="472">
      <c r="A472" s="37" t="n"/>
      <c r="C472" s="39" t="n"/>
    </row>
    <row r="473">
      <c r="A473" s="37" t="n"/>
      <c r="C473" s="39" t="n"/>
    </row>
    <row r="474">
      <c r="A474" s="37" t="n"/>
      <c r="C474" s="39" t="n"/>
    </row>
    <row r="475">
      <c r="A475" s="37" t="n"/>
      <c r="C475" s="39" t="n"/>
    </row>
    <row r="476">
      <c r="A476" s="37" t="n"/>
      <c r="C476" s="39" t="n"/>
    </row>
    <row r="477">
      <c r="A477" s="37" t="n"/>
      <c r="C477" s="39" t="n"/>
    </row>
    <row r="478">
      <c r="A478" s="37" t="n"/>
      <c r="C478" s="39" t="n"/>
    </row>
    <row r="479">
      <c r="A479" s="37" t="n"/>
      <c r="C479" s="39" t="n"/>
    </row>
    <row r="480">
      <c r="A480" s="37" t="n"/>
      <c r="C480" s="39" t="n"/>
    </row>
    <row r="481">
      <c r="A481" s="37" t="n"/>
      <c r="C481" s="39" t="n"/>
    </row>
    <row r="482">
      <c r="A482" s="37" t="n"/>
      <c r="C482" s="39" t="n"/>
    </row>
    <row r="483">
      <c r="A483" s="37" t="n"/>
      <c r="C483" s="39" t="n"/>
    </row>
    <row r="484">
      <c r="A484" s="37" t="n"/>
      <c r="C484" s="39" t="n"/>
    </row>
    <row r="485">
      <c r="A485" s="37" t="n"/>
      <c r="C485" s="39" t="n"/>
    </row>
    <row r="486">
      <c r="A486" s="37" t="n"/>
      <c r="C486" s="39" t="n"/>
    </row>
    <row r="487">
      <c r="A487" s="37" t="n"/>
      <c r="C487" s="39" t="n"/>
    </row>
    <row r="488">
      <c r="A488" s="37" t="n"/>
      <c r="C488" s="39" t="n"/>
    </row>
    <row r="489">
      <c r="A489" s="37" t="n"/>
      <c r="C489" s="39" t="n"/>
    </row>
    <row r="490">
      <c r="A490" s="37" t="n"/>
      <c r="C490" s="39" t="n"/>
    </row>
    <row r="491">
      <c r="A491" s="37" t="n"/>
      <c r="C491" s="39" t="n"/>
    </row>
    <row r="492">
      <c r="A492" s="37" t="n"/>
      <c r="C492" s="39" t="n"/>
    </row>
    <row r="493">
      <c r="A493" s="37" t="n"/>
      <c r="C493" s="39" t="n"/>
    </row>
    <row r="494">
      <c r="A494" s="37" t="n"/>
      <c r="C494" s="39" t="n"/>
    </row>
    <row r="495">
      <c r="A495" s="37" t="n"/>
      <c r="C495" s="39" t="n"/>
    </row>
    <row r="496">
      <c r="A496" s="37" t="n"/>
      <c r="C496" s="39" t="n"/>
    </row>
    <row r="497">
      <c r="A497" s="37" t="n"/>
      <c r="C497" s="39" t="n"/>
    </row>
    <row r="498">
      <c r="A498" s="37" t="n"/>
      <c r="C498" s="39" t="n"/>
    </row>
    <row r="499">
      <c r="A499" s="37" t="n"/>
      <c r="C499" s="39" t="n"/>
    </row>
    <row r="500">
      <c r="A500" s="37" t="n"/>
      <c r="C500" s="39" t="n"/>
    </row>
    <row r="501">
      <c r="A501" s="37" t="n"/>
      <c r="C501" s="39" t="n"/>
    </row>
    <row r="502">
      <c r="A502" s="37" t="n"/>
      <c r="C502" s="39" t="n"/>
    </row>
    <row r="503">
      <c r="A503" s="37" t="n"/>
      <c r="C503" s="39" t="n"/>
    </row>
    <row r="504">
      <c r="A504" s="37" t="n"/>
      <c r="C504" s="39" t="n"/>
    </row>
    <row r="505">
      <c r="A505" s="37" t="n"/>
      <c r="C505" s="39" t="n"/>
    </row>
    <row r="506">
      <c r="A506" s="37" t="n"/>
      <c r="C506" s="39" t="n"/>
    </row>
    <row r="507">
      <c r="A507" s="37" t="n"/>
      <c r="C507" s="39" t="n"/>
    </row>
    <row r="508">
      <c r="A508" s="37" t="n"/>
      <c r="C508" s="39" t="n"/>
    </row>
    <row r="509">
      <c r="A509" s="37" t="n"/>
      <c r="C509" s="39" t="n"/>
    </row>
    <row r="510">
      <c r="A510" s="37" t="n"/>
      <c r="C510" s="39" t="n"/>
    </row>
    <row r="511">
      <c r="A511" s="37" t="n"/>
      <c r="C511" s="39" t="n"/>
    </row>
    <row r="512">
      <c r="A512" s="37" t="n"/>
      <c r="C512" s="39" t="n"/>
    </row>
    <row r="513">
      <c r="A513" s="37" t="n"/>
      <c r="C513" s="39" t="n"/>
    </row>
    <row r="514">
      <c r="A514" s="37" t="n"/>
      <c r="C514" s="39" t="n"/>
    </row>
    <row r="515">
      <c r="A515" s="37" t="n"/>
      <c r="C515" s="39" t="n"/>
    </row>
    <row r="516">
      <c r="A516" s="37" t="n"/>
      <c r="C516" s="39" t="n"/>
    </row>
    <row r="517">
      <c r="A517" s="37" t="n"/>
      <c r="C517" s="39" t="n"/>
    </row>
    <row r="518">
      <c r="A518" s="37" t="n"/>
      <c r="C518" s="39" t="n"/>
    </row>
    <row r="519">
      <c r="A519" s="37" t="n"/>
      <c r="C519" s="39" t="n"/>
    </row>
    <row r="520">
      <c r="A520" s="37" t="n"/>
      <c r="C520" s="39" t="n"/>
    </row>
    <row r="521">
      <c r="A521" s="37" t="n"/>
      <c r="C521" s="39" t="n"/>
    </row>
    <row r="522">
      <c r="A522" s="37" t="n"/>
      <c r="C522" s="39" t="n"/>
    </row>
    <row r="523">
      <c r="A523" s="37" t="n"/>
      <c r="C523" s="39" t="n"/>
    </row>
    <row r="524">
      <c r="A524" s="37" t="n"/>
      <c r="C524" s="39" t="n"/>
    </row>
    <row r="525">
      <c r="A525" s="37" t="n"/>
      <c r="C525" s="39" t="n"/>
    </row>
    <row r="526">
      <c r="A526" s="37" t="n"/>
      <c r="C526" s="39" t="n"/>
    </row>
    <row r="527">
      <c r="A527" s="37" t="n"/>
      <c r="C527" s="39" t="n"/>
    </row>
    <row r="528">
      <c r="A528" s="37" t="n"/>
      <c r="C528" s="39" t="n"/>
    </row>
    <row r="529">
      <c r="A529" s="37" t="n"/>
      <c r="C529" s="39" t="n"/>
    </row>
    <row r="530">
      <c r="A530" s="37" t="n"/>
      <c r="C530" s="39" t="n"/>
    </row>
    <row r="531">
      <c r="A531" s="37" t="n"/>
      <c r="C531" s="39" t="n"/>
    </row>
    <row r="532">
      <c r="A532" s="37" t="n"/>
      <c r="C532" s="39" t="n"/>
    </row>
    <row r="533">
      <c r="A533" s="37" t="n"/>
      <c r="C533" s="39" t="n"/>
    </row>
    <row r="534">
      <c r="A534" s="37" t="n"/>
      <c r="C534" s="39" t="n"/>
    </row>
    <row r="535">
      <c r="A535" s="37" t="n"/>
      <c r="C535" s="39" t="n"/>
    </row>
    <row r="536">
      <c r="A536" s="37" t="n"/>
      <c r="C536" s="39" t="n"/>
    </row>
    <row r="537">
      <c r="A537" s="37" t="n"/>
      <c r="C537" s="39" t="n"/>
    </row>
    <row r="538">
      <c r="A538" s="37" t="n"/>
      <c r="C538" s="39" t="n"/>
    </row>
    <row r="539">
      <c r="A539" s="37" t="n"/>
      <c r="C539" s="39" t="n"/>
    </row>
    <row r="540">
      <c r="A540" s="37" t="n"/>
      <c r="C540" s="39" t="n"/>
    </row>
    <row r="541">
      <c r="A541" s="37" t="n"/>
      <c r="C541" s="39" t="n"/>
    </row>
    <row r="542">
      <c r="A542" s="37" t="n"/>
      <c r="C542" s="39" t="n"/>
    </row>
    <row r="543">
      <c r="A543" s="37" t="n"/>
      <c r="C543" s="39" t="n"/>
    </row>
    <row r="544">
      <c r="A544" s="37" t="n"/>
      <c r="C544" s="39" t="n"/>
    </row>
    <row r="545">
      <c r="A545" s="37" t="n"/>
      <c r="C545" s="39" t="n"/>
    </row>
    <row r="546">
      <c r="A546" s="37" t="n"/>
      <c r="C546" s="39" t="n"/>
    </row>
    <row r="547">
      <c r="A547" s="37" t="n"/>
      <c r="C547" s="39" t="n"/>
    </row>
    <row r="548">
      <c r="A548" s="37" t="n"/>
      <c r="C548" s="39" t="n"/>
    </row>
    <row r="549">
      <c r="A549" s="37" t="n"/>
      <c r="C549" s="39" t="n"/>
    </row>
    <row r="550">
      <c r="A550" s="37" t="n"/>
      <c r="C550" s="39" t="n"/>
    </row>
    <row r="551">
      <c r="A551" s="37" t="n"/>
      <c r="C551" s="39" t="n"/>
    </row>
    <row r="552">
      <c r="A552" s="37" t="n"/>
      <c r="C552" s="39" t="n"/>
    </row>
    <row r="553">
      <c r="A553" s="37" t="n"/>
      <c r="C553" s="39" t="n"/>
    </row>
    <row r="554">
      <c r="A554" s="37" t="n"/>
      <c r="C554" s="39" t="n"/>
    </row>
    <row r="555">
      <c r="A555" s="37" t="n"/>
      <c r="C555" s="39" t="n"/>
    </row>
    <row r="556">
      <c r="A556" s="37" t="n"/>
      <c r="C556" s="39" t="n"/>
    </row>
    <row r="557">
      <c r="A557" s="37" t="n"/>
      <c r="C557" s="39" t="n"/>
    </row>
    <row r="558">
      <c r="A558" s="37" t="n"/>
      <c r="C558" s="39" t="n"/>
    </row>
    <row r="559">
      <c r="A559" s="37" t="n"/>
      <c r="C559" s="39" t="n"/>
    </row>
    <row r="560">
      <c r="A560" s="37" t="n"/>
      <c r="C560" s="39" t="n"/>
    </row>
    <row r="561">
      <c r="A561" s="37" t="n"/>
      <c r="C561" s="39" t="n"/>
    </row>
    <row r="562">
      <c r="A562" s="37" t="n"/>
      <c r="C562" s="39" t="n"/>
    </row>
    <row r="563">
      <c r="A563" s="37" t="n"/>
      <c r="C563" s="39" t="n"/>
    </row>
    <row r="564">
      <c r="A564" s="37" t="n"/>
      <c r="C564" s="39" t="n"/>
    </row>
    <row r="565">
      <c r="A565" s="37" t="n"/>
      <c r="C565" s="39" t="n"/>
    </row>
    <row r="566">
      <c r="A566" s="37" t="n"/>
      <c r="C566" s="39" t="n"/>
    </row>
    <row r="567">
      <c r="A567" s="37" t="n"/>
      <c r="C567" s="39" t="n"/>
    </row>
    <row r="568">
      <c r="A568" s="37" t="n"/>
      <c r="C568" s="39" t="n"/>
    </row>
    <row r="569">
      <c r="A569" s="37" t="n"/>
      <c r="C569" s="39" t="n"/>
    </row>
    <row r="570">
      <c r="A570" s="37" t="n"/>
      <c r="C570" s="39" t="n"/>
    </row>
    <row r="571">
      <c r="A571" s="37" t="n"/>
      <c r="C571" s="39" t="n"/>
    </row>
    <row r="572">
      <c r="A572" s="37" t="n"/>
      <c r="C572" s="39" t="n"/>
    </row>
    <row r="573">
      <c r="A573" s="37" t="n"/>
      <c r="C573" s="39" t="n"/>
    </row>
    <row r="574">
      <c r="A574" s="37" t="n"/>
      <c r="C574" s="39" t="n"/>
    </row>
    <row r="575">
      <c r="A575" s="37" t="n"/>
      <c r="C575" s="39" t="n"/>
    </row>
    <row r="576">
      <c r="A576" s="37" t="n"/>
      <c r="C576" s="39" t="n"/>
    </row>
    <row r="577">
      <c r="A577" s="37" t="n"/>
      <c r="C577" s="39" t="n"/>
    </row>
    <row r="578">
      <c r="A578" s="37" t="n"/>
      <c r="C578" s="39" t="n"/>
    </row>
    <row r="579">
      <c r="A579" s="37" t="n"/>
      <c r="C579" s="39" t="n"/>
    </row>
    <row r="580">
      <c r="A580" s="37" t="n"/>
      <c r="C580" s="39" t="n"/>
    </row>
    <row r="581">
      <c r="A581" s="37" t="n"/>
      <c r="C581" s="39" t="n"/>
    </row>
    <row r="582">
      <c r="A582" s="37" t="n"/>
      <c r="C582" s="39" t="n"/>
    </row>
    <row r="583">
      <c r="A583" s="37" t="n"/>
      <c r="C583" s="39" t="n"/>
    </row>
    <row r="584">
      <c r="A584" s="37" t="n"/>
      <c r="C584" s="39" t="n"/>
    </row>
    <row r="585">
      <c r="A585" s="37" t="n"/>
      <c r="C585" s="39" t="n"/>
    </row>
    <row r="586">
      <c r="A586" s="37" t="n"/>
      <c r="C586" s="39" t="n"/>
    </row>
    <row r="587">
      <c r="A587" s="37" t="n"/>
      <c r="C587" s="39" t="n"/>
    </row>
    <row r="588">
      <c r="A588" s="37" t="n"/>
      <c r="C588" s="39" t="n"/>
    </row>
    <row r="589">
      <c r="A589" s="37" t="n"/>
      <c r="C589" s="39" t="n"/>
    </row>
    <row r="590">
      <c r="A590" s="37" t="n"/>
      <c r="C590" s="39" t="n"/>
    </row>
    <row r="591">
      <c r="A591" s="37" t="n"/>
      <c r="C591" s="39" t="n"/>
    </row>
    <row r="592">
      <c r="A592" s="37" t="n"/>
      <c r="C592" s="39" t="n"/>
    </row>
    <row r="593">
      <c r="A593" s="37" t="n"/>
      <c r="C593" s="39" t="n"/>
    </row>
    <row r="594">
      <c r="A594" s="37" t="n"/>
      <c r="C594" s="39" t="n"/>
    </row>
    <row r="595">
      <c r="A595" s="37" t="n"/>
      <c r="C595" s="39" t="n"/>
    </row>
    <row r="596">
      <c r="A596" s="37" t="n"/>
      <c r="C596" s="39" t="n"/>
    </row>
    <row r="597">
      <c r="A597" s="37" t="n"/>
      <c r="C597" s="39" t="n"/>
    </row>
    <row r="598">
      <c r="A598" s="37" t="n"/>
      <c r="C598" s="39" t="n"/>
    </row>
    <row r="599">
      <c r="A599" s="37" t="n"/>
      <c r="C599" s="39" t="n"/>
    </row>
    <row r="600">
      <c r="A600" s="37" t="n"/>
      <c r="C600" s="39" t="n"/>
    </row>
    <row r="601">
      <c r="A601" s="37" t="n"/>
      <c r="C601" s="39" t="n"/>
    </row>
    <row r="602">
      <c r="A602" s="37" t="n"/>
      <c r="C602" s="39" t="n"/>
    </row>
    <row r="603">
      <c r="A603" s="37" t="n"/>
      <c r="C603" s="39" t="n"/>
    </row>
    <row r="604">
      <c r="A604" s="37" t="n"/>
      <c r="C604" s="39" t="n"/>
    </row>
    <row r="605">
      <c r="A605" s="37" t="n"/>
      <c r="C605" s="39" t="n"/>
    </row>
    <row r="606">
      <c r="A606" s="37" t="n"/>
      <c r="C606" s="39" t="n"/>
    </row>
    <row r="607">
      <c r="A607" s="37" t="n"/>
      <c r="C607" s="39" t="n"/>
    </row>
    <row r="608">
      <c r="A608" s="37" t="n"/>
      <c r="C608" s="39" t="n"/>
    </row>
    <row r="609">
      <c r="A609" s="37" t="n"/>
      <c r="C609" s="39" t="n"/>
    </row>
    <row r="610">
      <c r="A610" s="37" t="n"/>
      <c r="C610" s="39" t="n"/>
    </row>
    <row r="611">
      <c r="A611" s="37" t="n"/>
      <c r="C611" s="39" t="n"/>
    </row>
    <row r="612">
      <c r="A612" s="37" t="n"/>
      <c r="C612" s="39" t="n"/>
    </row>
    <row r="613">
      <c r="A613" s="37" t="n"/>
      <c r="C613" s="39" t="n"/>
    </row>
    <row r="614">
      <c r="A614" s="37" t="n"/>
      <c r="C614" s="39" t="n"/>
    </row>
    <row r="615">
      <c r="A615" s="37" t="n"/>
      <c r="C615" s="39" t="n"/>
    </row>
    <row r="616">
      <c r="A616" s="37" t="n"/>
      <c r="C616" s="39" t="n"/>
    </row>
    <row r="617">
      <c r="A617" s="37" t="n"/>
      <c r="C617" s="39" t="n"/>
    </row>
    <row r="618">
      <c r="A618" s="37" t="n"/>
      <c r="C618" s="39" t="n"/>
    </row>
    <row r="619">
      <c r="A619" s="37" t="n"/>
      <c r="C619" s="39" t="n"/>
    </row>
    <row r="620">
      <c r="A620" s="37" t="n"/>
      <c r="C620" s="39" t="n"/>
    </row>
    <row r="621">
      <c r="A621" s="37" t="n"/>
      <c r="C621" s="39" t="n"/>
    </row>
    <row r="622">
      <c r="A622" s="37" t="n"/>
      <c r="C622" s="39" t="n"/>
    </row>
    <row r="623">
      <c r="A623" s="37" t="n"/>
      <c r="C623" s="39" t="n"/>
    </row>
    <row r="624">
      <c r="A624" s="37" t="n"/>
      <c r="C624" s="39" t="n"/>
    </row>
    <row r="625">
      <c r="A625" s="37" t="n"/>
      <c r="C625" s="39" t="n"/>
    </row>
    <row r="626">
      <c r="A626" s="37" t="n"/>
      <c r="C626" s="39" t="n"/>
    </row>
    <row r="627">
      <c r="A627" s="37" t="n"/>
      <c r="C627" s="39" t="n"/>
    </row>
    <row r="628">
      <c r="A628" s="37" t="n"/>
      <c r="C628" s="39" t="n"/>
    </row>
    <row r="629">
      <c r="A629" s="37" t="n"/>
      <c r="C629" s="39" t="n"/>
    </row>
    <row r="630">
      <c r="A630" s="37" t="n"/>
      <c r="C630" s="39" t="n"/>
    </row>
    <row r="631">
      <c r="A631" s="37" t="n"/>
      <c r="C631" s="39" t="n"/>
    </row>
    <row r="632">
      <c r="A632" s="37" t="n"/>
      <c r="C632" s="39" t="n"/>
    </row>
    <row r="633">
      <c r="A633" s="37" t="n"/>
      <c r="C633" s="39" t="n"/>
    </row>
    <row r="634">
      <c r="A634" s="37" t="n"/>
      <c r="C634" s="39" t="n"/>
    </row>
    <row r="635">
      <c r="A635" s="37" t="n"/>
      <c r="C635" s="39" t="n"/>
    </row>
    <row r="636">
      <c r="A636" s="37" t="n"/>
      <c r="C636" s="39" t="n"/>
    </row>
    <row r="637">
      <c r="A637" s="37" t="n"/>
      <c r="C637" s="39" t="n"/>
    </row>
    <row r="638">
      <c r="A638" s="37" t="n"/>
      <c r="C638" s="39" t="n"/>
    </row>
    <row r="639">
      <c r="A639" s="37" t="n"/>
      <c r="C639" s="39" t="n"/>
    </row>
    <row r="640">
      <c r="A640" s="37" t="n"/>
      <c r="C640" s="39" t="n"/>
    </row>
    <row r="641">
      <c r="A641" s="37" t="n"/>
      <c r="C641" s="39" t="n"/>
    </row>
    <row r="642">
      <c r="A642" s="37" t="n"/>
      <c r="C642" s="39" t="n"/>
    </row>
    <row r="643">
      <c r="A643" s="37" t="n"/>
      <c r="C643" s="39" t="n"/>
    </row>
    <row r="644">
      <c r="A644" s="37" t="n"/>
      <c r="C644" s="39" t="n"/>
    </row>
    <row r="645">
      <c r="A645" s="37" t="n"/>
      <c r="C645" s="39" t="n"/>
    </row>
    <row r="646">
      <c r="A646" s="37" t="n"/>
      <c r="C646" s="39" t="n"/>
    </row>
    <row r="647">
      <c r="A647" s="37" t="n"/>
      <c r="C647" s="39" t="n"/>
    </row>
    <row r="648">
      <c r="A648" s="37" t="n"/>
      <c r="C648" s="39" t="n"/>
    </row>
    <row r="649">
      <c r="A649" s="37" t="n"/>
      <c r="C649" s="39" t="n"/>
    </row>
    <row r="650">
      <c r="A650" s="37" t="n"/>
      <c r="C650" s="39" t="n"/>
    </row>
    <row r="651">
      <c r="A651" s="37" t="n"/>
      <c r="C651" s="39" t="n"/>
    </row>
    <row r="652">
      <c r="A652" s="37" t="n"/>
      <c r="C652" s="39" t="n"/>
    </row>
    <row r="653">
      <c r="A653" s="37" t="n"/>
      <c r="C653" s="39" t="n"/>
    </row>
    <row r="654">
      <c r="A654" s="37" t="n"/>
      <c r="C654" s="39" t="n"/>
    </row>
    <row r="655">
      <c r="A655" s="37" t="n"/>
      <c r="C655" s="39" t="n"/>
    </row>
    <row r="656">
      <c r="A656" s="37" t="n"/>
      <c r="C656" s="39" t="n"/>
    </row>
    <row r="657">
      <c r="A657" s="37" t="n"/>
      <c r="C657" s="39" t="n"/>
    </row>
    <row r="658">
      <c r="A658" s="37" t="n"/>
      <c r="C658" s="39" t="n"/>
    </row>
    <row r="659">
      <c r="A659" s="37" t="n"/>
      <c r="C659" s="39" t="n"/>
    </row>
    <row r="660">
      <c r="A660" s="37" t="n"/>
      <c r="C660" s="39" t="n"/>
    </row>
    <row r="661">
      <c r="A661" s="37" t="n"/>
      <c r="C661" s="39" t="n"/>
    </row>
    <row r="662">
      <c r="A662" s="37" t="n"/>
      <c r="C662" s="39" t="n"/>
    </row>
    <row r="663">
      <c r="A663" s="37" t="n"/>
      <c r="C663" s="39" t="n"/>
    </row>
    <row r="664">
      <c r="A664" s="37" t="n"/>
      <c r="C664" s="39" t="n"/>
    </row>
    <row r="665">
      <c r="A665" s="37" t="n"/>
      <c r="C665" s="39" t="n"/>
    </row>
    <row r="666">
      <c r="A666" s="37" t="n"/>
      <c r="C666" s="39" t="n"/>
    </row>
    <row r="667">
      <c r="A667" s="37" t="n"/>
      <c r="C667" s="39" t="n"/>
    </row>
    <row r="668">
      <c r="A668" s="37" t="n"/>
      <c r="C668" s="39" t="n"/>
    </row>
    <row r="669">
      <c r="A669" s="37" t="n"/>
      <c r="C669" s="39" t="n"/>
    </row>
    <row r="670">
      <c r="A670" s="37" t="n"/>
      <c r="C670" s="39" t="n"/>
    </row>
    <row r="671">
      <c r="A671" s="37" t="n"/>
      <c r="C671" s="39" t="n"/>
    </row>
    <row r="672">
      <c r="A672" s="37" t="n"/>
      <c r="C672" s="39" t="n"/>
    </row>
    <row r="673">
      <c r="A673" s="37" t="n"/>
      <c r="C673" s="39" t="n"/>
    </row>
    <row r="674">
      <c r="A674" s="37" t="n"/>
      <c r="C674" s="39" t="n"/>
    </row>
    <row r="675">
      <c r="A675" s="37" t="n"/>
      <c r="C675" s="39" t="n"/>
    </row>
    <row r="676">
      <c r="A676" s="37" t="n"/>
      <c r="C676" s="39" t="n"/>
    </row>
    <row r="677">
      <c r="A677" s="37" t="n"/>
      <c r="C677" s="39" t="n"/>
    </row>
    <row r="678">
      <c r="A678" s="37" t="n"/>
      <c r="C678" s="39" t="n"/>
    </row>
    <row r="679">
      <c r="A679" s="37" t="n"/>
      <c r="C679" s="39" t="n"/>
    </row>
    <row r="680">
      <c r="A680" s="37" t="n"/>
      <c r="C680" s="39" t="n"/>
    </row>
    <row r="681">
      <c r="A681" s="37" t="n"/>
      <c r="C681" s="39" t="n"/>
    </row>
    <row r="682">
      <c r="A682" s="37" t="n"/>
      <c r="C682" s="39" t="n"/>
    </row>
    <row r="683">
      <c r="A683" s="37" t="n"/>
      <c r="C683" s="39" t="n"/>
    </row>
    <row r="684">
      <c r="A684" s="37" t="n"/>
      <c r="C684" s="39" t="n"/>
    </row>
    <row r="685">
      <c r="A685" s="37" t="n"/>
      <c r="C685" s="39" t="n"/>
    </row>
    <row r="686">
      <c r="A686" s="37" t="n"/>
      <c r="C686" s="39" t="n"/>
    </row>
    <row r="687">
      <c r="A687" s="37" t="n"/>
      <c r="C687" s="39" t="n"/>
    </row>
    <row r="688">
      <c r="A688" s="37" t="n"/>
      <c r="C688" s="39" t="n"/>
    </row>
    <row r="689">
      <c r="A689" s="37" t="n"/>
      <c r="C689" s="39" t="n"/>
    </row>
    <row r="690">
      <c r="A690" s="37" t="n"/>
      <c r="C690" s="39" t="n"/>
    </row>
    <row r="691">
      <c r="A691" s="37" t="n"/>
      <c r="C691" s="39" t="n"/>
    </row>
    <row r="692">
      <c r="A692" s="37" t="n"/>
      <c r="C692" s="39" t="n"/>
    </row>
    <row r="693">
      <c r="A693" s="37" t="n"/>
      <c r="C693" s="39" t="n"/>
    </row>
    <row r="694">
      <c r="A694" s="37" t="n"/>
      <c r="C694" s="39" t="n"/>
    </row>
    <row r="695">
      <c r="A695" s="37" t="n"/>
      <c r="C695" s="39" t="n"/>
    </row>
    <row r="696">
      <c r="A696" s="37" t="n"/>
      <c r="C696" s="39" t="n"/>
    </row>
    <row r="697">
      <c r="A697" s="37" t="n"/>
      <c r="C697" s="39" t="n"/>
    </row>
    <row r="698">
      <c r="A698" s="37" t="n"/>
      <c r="C698" s="39" t="n"/>
    </row>
    <row r="699">
      <c r="A699" s="37" t="n"/>
      <c r="C699" s="39" t="n"/>
    </row>
    <row r="700">
      <c r="A700" s="37" t="n"/>
      <c r="C700" s="39" t="n"/>
    </row>
    <row r="701">
      <c r="A701" s="37" t="n"/>
      <c r="C701" s="39" t="n"/>
    </row>
    <row r="702">
      <c r="A702" s="37" t="n"/>
      <c r="C702" s="39" t="n"/>
    </row>
    <row r="703">
      <c r="A703" s="37" t="n"/>
      <c r="C703" s="39" t="n"/>
    </row>
    <row r="704">
      <c r="A704" s="37" t="n"/>
      <c r="C704" s="39" t="n"/>
    </row>
    <row r="705">
      <c r="A705" s="37" t="n"/>
      <c r="C705" s="39" t="n"/>
    </row>
    <row r="706">
      <c r="A706" s="37" t="n"/>
      <c r="C706" s="39" t="n"/>
    </row>
    <row r="707">
      <c r="A707" s="37" t="n"/>
      <c r="C707" s="39" t="n"/>
    </row>
    <row r="708">
      <c r="A708" s="37" t="n"/>
      <c r="C708" s="39" t="n"/>
    </row>
    <row r="709">
      <c r="A709" s="37" t="n"/>
      <c r="C709" s="39" t="n"/>
    </row>
    <row r="710">
      <c r="A710" s="37" t="n"/>
      <c r="C710" s="39" t="n"/>
    </row>
    <row r="711">
      <c r="A711" s="37" t="n"/>
      <c r="C711" s="39" t="n"/>
    </row>
    <row r="712">
      <c r="A712" s="37" t="n"/>
      <c r="C712" s="39" t="n"/>
    </row>
    <row r="713">
      <c r="A713" s="37" t="n"/>
      <c r="C713" s="39" t="n"/>
    </row>
    <row r="714">
      <c r="A714" s="37" t="n"/>
      <c r="C714" s="39" t="n"/>
    </row>
    <row r="715">
      <c r="A715" s="37" t="n"/>
      <c r="C715" s="39" t="n"/>
    </row>
    <row r="716">
      <c r="A716" s="37" t="n"/>
      <c r="C716" s="39" t="n"/>
    </row>
    <row r="717">
      <c r="A717" s="37" t="n"/>
      <c r="C717" s="39" t="n"/>
    </row>
    <row r="718">
      <c r="A718" s="37" t="n"/>
      <c r="C718" s="39" t="n"/>
    </row>
    <row r="719">
      <c r="A719" s="37" t="n"/>
      <c r="C719" s="39" t="n"/>
    </row>
    <row r="720">
      <c r="A720" s="37" t="n"/>
      <c r="C720" s="39" t="n"/>
    </row>
    <row r="721">
      <c r="A721" s="37" t="n"/>
      <c r="C721" s="39" t="n"/>
    </row>
    <row r="722">
      <c r="A722" s="37" t="n"/>
      <c r="C722" s="39" t="n"/>
    </row>
    <row r="723">
      <c r="A723" s="37" t="n"/>
      <c r="C723" s="39" t="n"/>
    </row>
    <row r="724">
      <c r="A724" s="37" t="n"/>
      <c r="C724" s="39" t="n"/>
    </row>
    <row r="725">
      <c r="A725" s="37" t="n"/>
      <c r="C725" s="39" t="n"/>
    </row>
    <row r="726">
      <c r="A726" s="37" t="n"/>
      <c r="C726" s="39" t="n"/>
    </row>
    <row r="727">
      <c r="A727" s="37" t="n"/>
      <c r="C727" s="39" t="n"/>
    </row>
    <row r="728">
      <c r="A728" s="37" t="n"/>
      <c r="C728" s="39" t="n"/>
    </row>
    <row r="729">
      <c r="A729" s="37" t="n"/>
      <c r="C729" s="39" t="n"/>
    </row>
    <row r="730">
      <c r="A730" s="37" t="n"/>
      <c r="C730" s="39" t="n"/>
    </row>
    <row r="731">
      <c r="A731" s="37" t="n"/>
      <c r="C731" s="39" t="n"/>
    </row>
    <row r="732">
      <c r="A732" s="37" t="n"/>
      <c r="C732" s="39" t="n"/>
    </row>
    <row r="733">
      <c r="A733" s="37" t="n"/>
      <c r="C733" s="39" t="n"/>
    </row>
    <row r="734">
      <c r="A734" s="37" t="n"/>
      <c r="C734" s="39" t="n"/>
    </row>
    <row r="735">
      <c r="A735" s="37" t="n"/>
      <c r="C735" s="39" t="n"/>
    </row>
    <row r="736">
      <c r="A736" s="37" t="n"/>
      <c r="C736" s="39" t="n"/>
    </row>
    <row r="737">
      <c r="A737" s="37" t="n"/>
      <c r="C737" s="39" t="n"/>
    </row>
    <row r="738">
      <c r="A738" s="37" t="n"/>
      <c r="C738" s="39" t="n"/>
    </row>
    <row r="739">
      <c r="A739" s="37" t="n"/>
      <c r="C739" s="39" t="n"/>
    </row>
    <row r="740">
      <c r="A740" s="37" t="n"/>
      <c r="C740" s="39" t="n"/>
    </row>
    <row r="741">
      <c r="A741" s="37" t="n"/>
      <c r="C741" s="39" t="n"/>
    </row>
    <row r="742">
      <c r="A742" s="37" t="n"/>
      <c r="C742" s="39" t="n"/>
    </row>
    <row r="743">
      <c r="A743" s="37" t="n"/>
      <c r="C743" s="39" t="n"/>
    </row>
    <row r="744">
      <c r="A744" s="37" t="n"/>
      <c r="C744" s="39" t="n"/>
    </row>
    <row r="745">
      <c r="A745" s="37" t="n"/>
      <c r="C745" s="39" t="n"/>
    </row>
    <row r="746">
      <c r="A746" s="37" t="n"/>
      <c r="C746" s="39" t="n"/>
    </row>
    <row r="747">
      <c r="A747" s="37" t="n"/>
      <c r="C747" s="39" t="n"/>
    </row>
    <row r="748">
      <c r="A748" s="37" t="n"/>
      <c r="C748" s="39" t="n"/>
    </row>
    <row r="749">
      <c r="A749" s="37" t="n"/>
      <c r="C749" s="39" t="n"/>
    </row>
    <row r="750">
      <c r="A750" s="37" t="n"/>
      <c r="C750" s="39" t="n"/>
    </row>
    <row r="751">
      <c r="A751" s="37" t="n"/>
      <c r="C751" s="39" t="n"/>
    </row>
    <row r="752">
      <c r="A752" s="37" t="n"/>
      <c r="C752" s="39" t="n"/>
    </row>
    <row r="753">
      <c r="A753" s="37" t="n"/>
      <c r="C753" s="39" t="n"/>
    </row>
    <row r="754">
      <c r="A754" s="37" t="n"/>
      <c r="C754" s="39" t="n"/>
    </row>
    <row r="755">
      <c r="A755" s="37" t="n"/>
      <c r="C755" s="39" t="n"/>
    </row>
    <row r="756">
      <c r="A756" s="37" t="n"/>
      <c r="C756" s="39" t="n"/>
    </row>
    <row r="757">
      <c r="A757" s="37" t="n"/>
      <c r="C757" s="39" t="n"/>
    </row>
    <row r="758">
      <c r="A758" s="37" t="n"/>
      <c r="C758" s="39" t="n"/>
    </row>
    <row r="759">
      <c r="A759" s="37" t="n"/>
      <c r="C759" s="39" t="n"/>
    </row>
    <row r="760">
      <c r="A760" s="37" t="n"/>
      <c r="C760" s="39" t="n"/>
    </row>
    <row r="761">
      <c r="A761" s="37" t="n"/>
      <c r="C761" s="39" t="n"/>
    </row>
    <row r="762">
      <c r="A762" s="37" t="n"/>
      <c r="C762" s="39" t="n"/>
    </row>
    <row r="763">
      <c r="A763" s="37" t="n"/>
      <c r="C763" s="39" t="n"/>
    </row>
    <row r="764">
      <c r="A764" s="37" t="n"/>
      <c r="C764" s="39" t="n"/>
    </row>
    <row r="765">
      <c r="A765" s="37" t="n"/>
      <c r="C765" s="39" t="n"/>
    </row>
    <row r="766">
      <c r="A766" s="37" t="n"/>
      <c r="C766" s="39" t="n"/>
    </row>
    <row r="767">
      <c r="A767" s="37" t="n"/>
      <c r="C767" s="39" t="n"/>
    </row>
    <row r="768">
      <c r="A768" s="37" t="n"/>
      <c r="C768" s="39" t="n"/>
    </row>
    <row r="769">
      <c r="A769" s="37" t="n"/>
      <c r="C769" s="39" t="n"/>
    </row>
    <row r="770">
      <c r="A770" s="37" t="n"/>
      <c r="C770" s="39" t="n"/>
    </row>
    <row r="771">
      <c r="A771" s="37" t="n"/>
      <c r="C771" s="39" t="n"/>
    </row>
    <row r="772">
      <c r="A772" s="37" t="n"/>
      <c r="C772" s="39" t="n"/>
    </row>
    <row r="773">
      <c r="A773" s="37" t="n"/>
      <c r="C773" s="39" t="n"/>
    </row>
    <row r="774">
      <c r="A774" s="37" t="n"/>
      <c r="C774" s="39" t="n"/>
    </row>
    <row r="775">
      <c r="A775" s="37" t="n"/>
      <c r="C775" s="39" t="n"/>
    </row>
    <row r="776">
      <c r="A776" s="37" t="n"/>
      <c r="C776" s="39" t="n"/>
    </row>
    <row r="777">
      <c r="A777" s="37" t="n"/>
      <c r="C777" s="39" t="n"/>
    </row>
    <row r="778">
      <c r="A778" s="37" t="n"/>
      <c r="C778" s="39" t="n"/>
    </row>
    <row r="779">
      <c r="A779" s="37" t="n"/>
      <c r="C779" s="39" t="n"/>
    </row>
    <row r="780">
      <c r="A780" s="37" t="n"/>
      <c r="C780" s="39" t="n"/>
    </row>
    <row r="781">
      <c r="A781" s="37" t="n"/>
      <c r="C781" s="39" t="n"/>
    </row>
    <row r="782">
      <c r="A782" s="37" t="n"/>
      <c r="C782" s="39" t="n"/>
    </row>
    <row r="783">
      <c r="A783" s="37" t="n"/>
      <c r="C783" s="39" t="n"/>
    </row>
    <row r="784">
      <c r="A784" s="37" t="n"/>
      <c r="C784" s="39" t="n"/>
    </row>
    <row r="785">
      <c r="A785" s="37" t="n"/>
      <c r="C785" s="39" t="n"/>
    </row>
    <row r="786">
      <c r="A786" s="37" t="n"/>
      <c r="C786" s="39" t="n"/>
    </row>
    <row r="787">
      <c r="A787" s="37" t="n"/>
      <c r="C787" s="39" t="n"/>
    </row>
    <row r="788">
      <c r="A788" s="37" t="n"/>
      <c r="C788" s="39" t="n"/>
    </row>
    <row r="789">
      <c r="A789" s="37" t="n"/>
      <c r="C789" s="39" t="n"/>
    </row>
    <row r="790">
      <c r="A790" s="37" t="n"/>
      <c r="C790" s="39" t="n"/>
    </row>
    <row r="791">
      <c r="A791" s="37" t="n"/>
      <c r="C791" s="39" t="n"/>
    </row>
    <row r="792">
      <c r="A792" s="37" t="n"/>
      <c r="C792" s="39" t="n"/>
    </row>
    <row r="793">
      <c r="A793" s="37" t="n"/>
      <c r="C793" s="39" t="n"/>
    </row>
    <row r="794">
      <c r="A794" s="37" t="n"/>
      <c r="C794" s="39" t="n"/>
    </row>
    <row r="795">
      <c r="A795" s="37" t="n"/>
      <c r="C795" s="39" t="n"/>
    </row>
    <row r="796">
      <c r="A796" s="37" t="n"/>
      <c r="C796" s="39" t="n"/>
    </row>
    <row r="797">
      <c r="A797" s="37" t="n"/>
      <c r="C797" s="39" t="n"/>
    </row>
    <row r="798">
      <c r="A798" s="37" t="n"/>
      <c r="C798" s="39" t="n"/>
    </row>
    <row r="799">
      <c r="A799" s="37" t="n"/>
      <c r="C799" s="39" t="n"/>
    </row>
    <row r="800">
      <c r="A800" s="37" t="n"/>
      <c r="C800" s="39" t="n"/>
    </row>
    <row r="801">
      <c r="A801" s="37" t="n"/>
      <c r="C801" s="39" t="n"/>
    </row>
    <row r="802">
      <c r="A802" s="37" t="n"/>
      <c r="C802" s="39" t="n"/>
    </row>
    <row r="803">
      <c r="A803" s="37" t="n"/>
      <c r="C803" s="39" t="n"/>
    </row>
    <row r="804">
      <c r="A804" s="37" t="n"/>
      <c r="C804" s="39" t="n"/>
    </row>
    <row r="805">
      <c r="A805" s="37" t="n"/>
      <c r="C805" s="39" t="n"/>
    </row>
    <row r="806">
      <c r="A806" s="37" t="n"/>
      <c r="C806" s="39" t="n"/>
    </row>
    <row r="807">
      <c r="A807" s="37" t="n"/>
      <c r="C807" s="39" t="n"/>
    </row>
    <row r="808">
      <c r="A808" s="37" t="n"/>
      <c r="C808" s="39" t="n"/>
    </row>
    <row r="809">
      <c r="A809" s="37" t="n"/>
      <c r="C809" s="39" t="n"/>
    </row>
    <row r="810">
      <c r="A810" s="37" t="n"/>
      <c r="C810" s="39" t="n"/>
    </row>
    <row r="811">
      <c r="A811" s="37" t="n"/>
      <c r="C811" s="39" t="n"/>
    </row>
    <row r="812">
      <c r="A812" s="37" t="n"/>
      <c r="C812" s="39" t="n"/>
    </row>
    <row r="813">
      <c r="A813" s="37" t="n"/>
      <c r="C813" s="39" t="n"/>
    </row>
    <row r="814">
      <c r="A814" s="37" t="n"/>
      <c r="C814" s="39" t="n"/>
    </row>
    <row r="815">
      <c r="A815" s="37" t="n"/>
      <c r="C815" s="39" t="n"/>
    </row>
    <row r="816">
      <c r="A816" s="37" t="n"/>
      <c r="C816" s="39" t="n"/>
    </row>
    <row r="817">
      <c r="A817" s="37" t="n"/>
      <c r="C817" s="39" t="n"/>
    </row>
    <row r="818">
      <c r="A818" s="37" t="n"/>
      <c r="C818" s="39" t="n"/>
    </row>
    <row r="819">
      <c r="A819" s="37" t="n"/>
      <c r="C819" s="39" t="n"/>
    </row>
    <row r="820">
      <c r="A820" s="37" t="n"/>
      <c r="C820" s="39" t="n"/>
    </row>
    <row r="821">
      <c r="A821" s="37" t="n"/>
      <c r="C821" s="39" t="n"/>
    </row>
    <row r="822">
      <c r="A822" s="37" t="n"/>
      <c r="C822" s="39" t="n"/>
    </row>
    <row r="823">
      <c r="A823" s="37" t="n"/>
      <c r="C823" s="39" t="n"/>
    </row>
    <row r="824">
      <c r="A824" s="37" t="n"/>
      <c r="C824" s="39" t="n"/>
    </row>
    <row r="825">
      <c r="A825" s="37" t="n"/>
      <c r="C825" s="39" t="n"/>
    </row>
    <row r="826">
      <c r="A826" s="37" t="n"/>
      <c r="C826" s="39" t="n"/>
    </row>
    <row r="827">
      <c r="A827" s="37" t="n"/>
      <c r="C827" s="39" t="n"/>
    </row>
    <row r="828">
      <c r="A828" s="37" t="n"/>
      <c r="C828" s="39" t="n"/>
    </row>
    <row r="829">
      <c r="A829" s="37" t="n"/>
      <c r="C829" s="39" t="n"/>
    </row>
    <row r="830">
      <c r="A830" s="37" t="n"/>
      <c r="C830" s="39" t="n"/>
    </row>
    <row r="831">
      <c r="A831" s="37" t="n"/>
      <c r="C831" s="39" t="n"/>
    </row>
    <row r="832">
      <c r="A832" s="37" t="n"/>
      <c r="C832" s="39" t="n"/>
    </row>
    <row r="833">
      <c r="A833" s="37" t="n"/>
      <c r="C833" s="39" t="n"/>
    </row>
    <row r="834">
      <c r="A834" s="37" t="n"/>
      <c r="C834" s="39" t="n"/>
    </row>
    <row r="835">
      <c r="A835" s="37" t="n"/>
      <c r="C835" s="39" t="n"/>
    </row>
    <row r="836">
      <c r="A836" s="37" t="n"/>
      <c r="C836" s="39" t="n"/>
    </row>
    <row r="837">
      <c r="A837" s="37" t="n"/>
      <c r="C837" s="39" t="n"/>
    </row>
    <row r="838">
      <c r="A838" s="37" t="n"/>
      <c r="C838" s="39" t="n"/>
    </row>
    <row r="839">
      <c r="A839" s="37" t="n"/>
      <c r="C839" s="39" t="n"/>
    </row>
    <row r="840">
      <c r="A840" s="37" t="n"/>
      <c r="C840" s="39" t="n"/>
    </row>
    <row r="841">
      <c r="A841" s="37" t="n"/>
      <c r="C841" s="39" t="n"/>
    </row>
    <row r="842">
      <c r="A842" s="37" t="n"/>
      <c r="C842" s="39" t="n"/>
    </row>
    <row r="843">
      <c r="A843" s="37" t="n"/>
      <c r="C843" s="39" t="n"/>
    </row>
    <row r="844">
      <c r="A844" s="37" t="n"/>
      <c r="C844" s="39" t="n"/>
    </row>
    <row r="845">
      <c r="A845" s="37" t="n"/>
      <c r="C845" s="39" t="n"/>
    </row>
    <row r="846">
      <c r="A846" s="37" t="n"/>
      <c r="C846" s="39" t="n"/>
    </row>
    <row r="847">
      <c r="A847" s="37" t="n"/>
      <c r="C847" s="39" t="n"/>
    </row>
    <row r="848">
      <c r="A848" s="37" t="n"/>
      <c r="C848" s="39" t="n"/>
    </row>
    <row r="849">
      <c r="A849" s="37" t="n"/>
      <c r="C849" s="39" t="n"/>
    </row>
    <row r="850">
      <c r="A850" s="37" t="n"/>
      <c r="C850" s="39" t="n"/>
    </row>
    <row r="851">
      <c r="A851" s="37" t="n"/>
      <c r="C851" s="39" t="n"/>
    </row>
    <row r="852">
      <c r="A852" s="37" t="n"/>
      <c r="C852" s="39" t="n"/>
    </row>
    <row r="853">
      <c r="A853" s="37" t="n"/>
      <c r="C853" s="39" t="n"/>
    </row>
    <row r="854">
      <c r="A854" s="37" t="n"/>
      <c r="C854" s="39" t="n"/>
    </row>
    <row r="855">
      <c r="A855" s="37" t="n"/>
      <c r="C855" s="39" t="n"/>
    </row>
    <row r="856">
      <c r="A856" s="37" t="n"/>
      <c r="C856" s="39" t="n"/>
    </row>
    <row r="857">
      <c r="A857" s="37" t="n"/>
      <c r="C857" s="39" t="n"/>
    </row>
    <row r="858">
      <c r="A858" s="37" t="n"/>
      <c r="C858" s="39" t="n"/>
    </row>
    <row r="859">
      <c r="A859" s="37" t="n"/>
      <c r="C859" s="39" t="n"/>
    </row>
    <row r="860">
      <c r="A860" s="37" t="n"/>
      <c r="C860" s="39" t="n"/>
    </row>
    <row r="861">
      <c r="A861" s="37" t="n"/>
      <c r="C861" s="39" t="n"/>
    </row>
    <row r="862">
      <c r="A862" s="37" t="n"/>
      <c r="C862" s="39" t="n"/>
    </row>
    <row r="863">
      <c r="A863" s="37" t="n"/>
      <c r="C863" s="39" t="n"/>
    </row>
    <row r="864">
      <c r="A864" s="37" t="n"/>
      <c r="C864" s="39" t="n"/>
    </row>
    <row r="865">
      <c r="A865" s="37" t="n"/>
      <c r="C865" s="39" t="n"/>
    </row>
    <row r="866">
      <c r="A866" s="37" t="n"/>
      <c r="C866" s="39" t="n"/>
    </row>
    <row r="867">
      <c r="A867" s="37" t="n"/>
      <c r="C867" s="39" t="n"/>
    </row>
    <row r="868">
      <c r="A868" s="37" t="n"/>
      <c r="C868" s="39" t="n"/>
    </row>
    <row r="869">
      <c r="A869" s="37" t="n"/>
      <c r="C869" s="39" t="n"/>
    </row>
    <row r="870">
      <c r="A870" s="37" t="n"/>
      <c r="C870" s="39" t="n"/>
    </row>
    <row r="871">
      <c r="A871" s="37" t="n"/>
      <c r="C871" s="39" t="n"/>
    </row>
    <row r="872">
      <c r="A872" s="37" t="n"/>
      <c r="C872" s="39" t="n"/>
    </row>
    <row r="873">
      <c r="A873" s="37" t="n"/>
      <c r="C873" s="39" t="n"/>
    </row>
    <row r="874">
      <c r="A874" s="37" t="n"/>
      <c r="C874" s="39" t="n"/>
    </row>
    <row r="875">
      <c r="A875" s="37" t="n"/>
      <c r="C875" s="39" t="n"/>
    </row>
    <row r="876">
      <c r="A876" s="37" t="n"/>
      <c r="C876" s="39" t="n"/>
    </row>
    <row r="877">
      <c r="A877" s="37" t="n"/>
      <c r="C877" s="39" t="n"/>
    </row>
    <row r="878">
      <c r="A878" s="37" t="n"/>
      <c r="C878" s="39" t="n"/>
    </row>
    <row r="879">
      <c r="A879" s="37" t="n"/>
      <c r="C879" s="39" t="n"/>
    </row>
    <row r="880">
      <c r="A880" s="37" t="n"/>
      <c r="C880" s="39" t="n"/>
    </row>
    <row r="881">
      <c r="A881" s="37" t="n"/>
      <c r="C881" s="39" t="n"/>
    </row>
    <row r="882">
      <c r="A882" s="37" t="n"/>
      <c r="C882" s="39" t="n"/>
    </row>
    <row r="883">
      <c r="A883" s="37" t="n"/>
      <c r="C883" s="39" t="n"/>
    </row>
    <row r="884">
      <c r="A884" s="37" t="n"/>
      <c r="C884" s="39" t="n"/>
    </row>
    <row r="885">
      <c r="A885" s="37" t="n"/>
      <c r="C885" s="39" t="n"/>
    </row>
    <row r="886">
      <c r="A886" s="37" t="n"/>
      <c r="C886" s="39" t="n"/>
    </row>
    <row r="887">
      <c r="A887" s="37" t="n"/>
      <c r="C887" s="39" t="n"/>
    </row>
    <row r="888">
      <c r="A888" s="37" t="n"/>
      <c r="C888" s="39" t="n"/>
    </row>
    <row r="889">
      <c r="A889" s="37" t="n"/>
      <c r="C889" s="39" t="n"/>
    </row>
    <row r="890">
      <c r="A890" s="37" t="n"/>
      <c r="C890" s="39" t="n"/>
    </row>
    <row r="891">
      <c r="A891" s="37" t="n"/>
      <c r="C891" s="39" t="n"/>
    </row>
    <row r="892">
      <c r="A892" s="37" t="n"/>
      <c r="C892" s="39" t="n"/>
    </row>
    <row r="893">
      <c r="A893" s="37" t="n"/>
      <c r="C893" s="39" t="n"/>
    </row>
    <row r="894">
      <c r="A894" s="37" t="n"/>
      <c r="C894" s="39" t="n"/>
    </row>
    <row r="895">
      <c r="A895" s="37" t="n"/>
      <c r="C895" s="39" t="n"/>
    </row>
    <row r="896">
      <c r="A896" s="37" t="n"/>
      <c r="C896" s="39" t="n"/>
    </row>
    <row r="897">
      <c r="A897" s="37" t="n"/>
      <c r="C897" s="39" t="n"/>
    </row>
    <row r="898">
      <c r="A898" s="37" t="n"/>
      <c r="C898" s="39" t="n"/>
    </row>
    <row r="899">
      <c r="A899" s="37" t="n"/>
      <c r="C899" s="39" t="n"/>
    </row>
    <row r="900">
      <c r="A900" s="37" t="n"/>
      <c r="C900" s="39" t="n"/>
    </row>
    <row r="901">
      <c r="A901" s="37" t="n"/>
      <c r="C901" s="39" t="n"/>
    </row>
    <row r="902">
      <c r="A902" s="37" t="n"/>
      <c r="C902" s="39" t="n"/>
    </row>
    <row r="903">
      <c r="A903" s="37" t="n"/>
      <c r="C903" s="39" t="n"/>
    </row>
    <row r="904">
      <c r="A904" s="37" t="n"/>
      <c r="C904" s="39" t="n"/>
    </row>
    <row r="905">
      <c r="A905" s="37" t="n"/>
      <c r="C905" s="39" t="n"/>
    </row>
    <row r="906">
      <c r="A906" s="37" t="n"/>
      <c r="C906" s="39" t="n"/>
    </row>
    <row r="907">
      <c r="A907" s="37" t="n"/>
      <c r="C907" s="39" t="n"/>
    </row>
    <row r="908">
      <c r="A908" s="37" t="n"/>
      <c r="C908" s="39" t="n"/>
    </row>
    <row r="909">
      <c r="A909" s="37" t="n"/>
      <c r="C909" s="39" t="n"/>
    </row>
    <row r="910">
      <c r="A910" s="37" t="n"/>
      <c r="C910" s="39" t="n"/>
    </row>
    <row r="911">
      <c r="A911" s="37" t="n"/>
      <c r="C911" s="39" t="n"/>
    </row>
    <row r="912">
      <c r="A912" s="37" t="n"/>
      <c r="C912" s="39" t="n"/>
    </row>
    <row r="913">
      <c r="A913" s="37" t="n"/>
      <c r="C913" s="39" t="n"/>
    </row>
    <row r="914">
      <c r="A914" s="37" t="n"/>
      <c r="C914" s="39" t="n"/>
    </row>
    <row r="915">
      <c r="A915" s="37" t="n"/>
      <c r="C915" s="39" t="n"/>
    </row>
    <row r="916">
      <c r="A916" s="37" t="n"/>
      <c r="C916" s="39" t="n"/>
    </row>
    <row r="917">
      <c r="A917" s="37" t="n"/>
      <c r="C917" s="39" t="n"/>
    </row>
    <row r="918">
      <c r="A918" s="37" t="n"/>
      <c r="C918" s="39" t="n"/>
    </row>
    <row r="919">
      <c r="A919" s="37" t="n"/>
      <c r="C919" s="39" t="n"/>
    </row>
    <row r="920">
      <c r="A920" s="37" t="n"/>
      <c r="C920" s="39" t="n"/>
    </row>
    <row r="921">
      <c r="A921" s="37" t="n"/>
      <c r="C921" s="39" t="n"/>
    </row>
    <row r="922">
      <c r="A922" s="37" t="n"/>
      <c r="C922" s="39" t="n"/>
    </row>
    <row r="923">
      <c r="A923" s="37" t="n"/>
      <c r="C923" s="39" t="n"/>
    </row>
    <row r="924">
      <c r="A924" s="37" t="n"/>
      <c r="C924" s="39" t="n"/>
    </row>
    <row r="925">
      <c r="A925" s="37" t="n"/>
      <c r="C925" s="39" t="n"/>
    </row>
    <row r="926">
      <c r="A926" s="37" t="n"/>
      <c r="C926" s="39" t="n"/>
    </row>
    <row r="927">
      <c r="A927" s="37" t="n"/>
      <c r="C927" s="39" t="n"/>
    </row>
    <row r="928">
      <c r="A928" s="37" t="n"/>
      <c r="C928" s="39" t="n"/>
    </row>
    <row r="929">
      <c r="A929" s="37" t="n"/>
      <c r="C929" s="39" t="n"/>
    </row>
    <row r="930">
      <c r="A930" s="37" t="n"/>
      <c r="C930" s="39" t="n"/>
    </row>
    <row r="931">
      <c r="A931" s="37" t="n"/>
      <c r="C931" s="39" t="n"/>
    </row>
    <row r="932">
      <c r="A932" s="37" t="n"/>
      <c r="C932" s="39" t="n"/>
    </row>
    <row r="933">
      <c r="A933" s="37" t="n"/>
      <c r="C933" s="39" t="n"/>
    </row>
    <row r="934">
      <c r="A934" s="37" t="n"/>
      <c r="C934" s="39" t="n"/>
    </row>
    <row r="935">
      <c r="A935" s="37" t="n"/>
      <c r="C935" s="39" t="n"/>
    </row>
    <row r="936">
      <c r="A936" s="37" t="n"/>
      <c r="C936" s="39" t="n"/>
    </row>
    <row r="937">
      <c r="A937" s="37" t="n"/>
      <c r="C937" s="39" t="n"/>
    </row>
    <row r="938">
      <c r="A938" s="37" t="n"/>
      <c r="C938" s="39" t="n"/>
    </row>
    <row r="939">
      <c r="A939" s="37" t="n"/>
      <c r="C939" s="39" t="n"/>
    </row>
    <row r="940">
      <c r="A940" s="37" t="n"/>
      <c r="C940" s="39" t="n"/>
    </row>
    <row r="941">
      <c r="A941" s="37" t="n"/>
      <c r="C941" s="39" t="n"/>
    </row>
    <row r="942">
      <c r="A942" s="37" t="n"/>
      <c r="C942" s="39" t="n"/>
    </row>
    <row r="943">
      <c r="A943" s="37" t="n"/>
      <c r="C943" s="39" t="n"/>
    </row>
    <row r="944">
      <c r="A944" s="37" t="n"/>
      <c r="C944" s="39" t="n"/>
    </row>
    <row r="945">
      <c r="A945" s="37" t="n"/>
      <c r="C945" s="39" t="n"/>
    </row>
    <row r="946">
      <c r="A946" s="37" t="n"/>
      <c r="C946" s="39" t="n"/>
    </row>
    <row r="947">
      <c r="A947" s="37" t="n"/>
      <c r="C947" s="39" t="n"/>
    </row>
    <row r="948">
      <c r="A948" s="37" t="n"/>
      <c r="C948" s="39" t="n"/>
    </row>
    <row r="949">
      <c r="A949" s="37" t="n"/>
      <c r="C949" s="39" t="n"/>
    </row>
    <row r="950">
      <c r="A950" s="37" t="n"/>
      <c r="C950" s="39" t="n"/>
    </row>
    <row r="951">
      <c r="A951" s="37" t="n"/>
      <c r="C951" s="39" t="n"/>
    </row>
    <row r="952">
      <c r="A952" s="37" t="n"/>
      <c r="C952" s="39" t="n"/>
    </row>
    <row r="953">
      <c r="A953" s="37" t="n"/>
      <c r="C953" s="39" t="n"/>
    </row>
    <row r="954">
      <c r="A954" s="37" t="n"/>
      <c r="C954" s="39" t="n"/>
    </row>
    <row r="955">
      <c r="A955" s="37" t="n"/>
      <c r="C955" s="39" t="n"/>
    </row>
    <row r="956">
      <c r="A956" s="37" t="n"/>
      <c r="C956" s="39" t="n"/>
    </row>
    <row r="957">
      <c r="A957" s="37" t="n"/>
      <c r="C957" s="39" t="n"/>
    </row>
    <row r="958">
      <c r="A958" s="37" t="n"/>
      <c r="C958" s="39" t="n"/>
    </row>
    <row r="959">
      <c r="A959" s="37" t="n"/>
      <c r="C959" s="39" t="n"/>
    </row>
    <row r="960">
      <c r="A960" s="37" t="n"/>
      <c r="C960" s="39" t="n"/>
    </row>
    <row r="961">
      <c r="A961" s="37" t="n"/>
      <c r="C961" s="39" t="n"/>
    </row>
    <row r="962">
      <c r="A962" s="37" t="n"/>
      <c r="C962" s="39" t="n"/>
    </row>
    <row r="963">
      <c r="A963" s="37" t="n"/>
      <c r="C963" s="39" t="n"/>
    </row>
    <row r="964">
      <c r="A964" s="37" t="n"/>
      <c r="C964" s="39" t="n"/>
    </row>
    <row r="965">
      <c r="A965" s="37" t="n"/>
      <c r="C965" s="39" t="n"/>
    </row>
    <row r="966">
      <c r="A966" s="37" t="n"/>
      <c r="C966" s="39" t="n"/>
    </row>
    <row r="967">
      <c r="A967" s="37" t="n"/>
      <c r="C967" s="39" t="n"/>
    </row>
    <row r="968">
      <c r="A968" s="37" t="n"/>
      <c r="C968" s="39" t="n"/>
    </row>
    <row r="969">
      <c r="A969" s="37" t="n"/>
      <c r="C969" s="39" t="n"/>
    </row>
    <row r="970">
      <c r="A970" s="37" t="n"/>
      <c r="C970" s="39" t="n"/>
    </row>
    <row r="971">
      <c r="A971" s="37" t="n"/>
      <c r="C971" s="39" t="n"/>
    </row>
    <row r="972">
      <c r="A972" s="37" t="n"/>
      <c r="C972" s="39" t="n"/>
    </row>
    <row r="973">
      <c r="A973" s="37" t="n"/>
      <c r="C973" s="39" t="n"/>
    </row>
    <row r="974">
      <c r="A974" s="37" t="n"/>
      <c r="C974" s="39" t="n"/>
    </row>
    <row r="975">
      <c r="A975" s="37" t="n"/>
      <c r="C975" s="39" t="n"/>
    </row>
    <row r="976">
      <c r="A976" s="37" t="n"/>
      <c r="C976" s="39" t="n"/>
    </row>
    <row r="977">
      <c r="A977" s="37" t="n"/>
      <c r="C977" s="39" t="n"/>
    </row>
    <row r="978">
      <c r="A978" s="37" t="n"/>
      <c r="C978" s="39" t="n"/>
    </row>
    <row r="979">
      <c r="A979" s="37" t="n"/>
      <c r="C979" s="39" t="n"/>
    </row>
    <row r="980">
      <c r="A980" s="37" t="n"/>
      <c r="C980" s="39" t="n"/>
    </row>
    <row r="981">
      <c r="A981" s="37" t="n"/>
      <c r="C981" s="39" t="n"/>
    </row>
    <row r="982">
      <c r="A982" s="37" t="n"/>
      <c r="C982" s="39" t="n"/>
    </row>
    <row r="983">
      <c r="A983" s="37" t="n"/>
      <c r="C983" s="39" t="n"/>
    </row>
    <row r="984">
      <c r="A984" s="37" t="n"/>
      <c r="C984" s="39" t="n"/>
    </row>
    <row r="985">
      <c r="A985" s="37" t="n"/>
      <c r="C985" s="39" t="n"/>
    </row>
    <row r="986">
      <c r="A986" s="37" t="n"/>
      <c r="C986" s="39" t="n"/>
    </row>
    <row r="987">
      <c r="A987" s="37" t="n"/>
      <c r="C987" s="39" t="n"/>
    </row>
    <row r="988">
      <c r="A988" s="37" t="n"/>
      <c r="C988" s="39" t="n"/>
    </row>
    <row r="989">
      <c r="A989" s="37" t="n"/>
      <c r="C989" s="39" t="n"/>
    </row>
    <row r="990">
      <c r="A990" s="37" t="n"/>
      <c r="C990" s="39" t="n"/>
    </row>
    <row r="991">
      <c r="A991" s="37" t="n"/>
      <c r="C991" s="39" t="n"/>
    </row>
    <row r="992">
      <c r="A992" s="37" t="n"/>
      <c r="C992" s="39" t="n"/>
    </row>
    <row r="993">
      <c r="A993" s="37" t="n"/>
      <c r="C993" s="39" t="n"/>
    </row>
    <row r="994">
      <c r="A994" s="37" t="n"/>
      <c r="C994" s="39" t="n"/>
    </row>
    <row r="995">
      <c r="A995" s="37" t="n"/>
      <c r="C995" s="39" t="n"/>
    </row>
    <row r="996">
      <c r="A996" s="37" t="n"/>
      <c r="C996" s="39" t="n"/>
    </row>
    <row r="997">
      <c r="A997" s="37" t="n"/>
      <c r="C997" s="39" t="n"/>
    </row>
    <row r="998">
      <c r="A998" s="37" t="n"/>
      <c r="C998" s="39" t="n"/>
    </row>
    <row r="999">
      <c r="A999" s="37" t="n"/>
      <c r="C999" s="39" t="n"/>
    </row>
    <row r="1000">
      <c r="A1000" s="37" t="n"/>
      <c r="C1000" s="39" t="n"/>
    </row>
    <row r="1001">
      <c r="A1001" s="37" t="n"/>
      <c r="C1001" s="39" t="n"/>
    </row>
    <row r="1002">
      <c r="A1002" s="37" t="n"/>
      <c r="C1002" s="39" t="n"/>
    </row>
    <row r="1003">
      <c r="A1003" s="37" t="n"/>
      <c r="C1003" s="39" t="n"/>
    </row>
    <row r="1004">
      <c r="A1004" s="37" t="n"/>
      <c r="C1004" s="3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5" customWidth="1" min="3" max="3"/>
    <col width="20" customWidth="1" min="4" max="4"/>
    <col width="22" customWidth="1" min="5" max="5"/>
  </cols>
  <sheetData>
    <row r="1">
      <c r="A1" s="33" t="inlineStr">
        <is>
          <t>Imports - Card — paste raw transactions below (data starts row 5)</t>
        </is>
      </c>
    </row>
    <row r="2">
      <c r="A2" s="12" t="inlineStr">
        <is>
          <t>Card statement: charges POSITIVE (money out), refunds/credits NEGATIVE.   [format: card]</t>
        </is>
      </c>
    </row>
    <row r="3">
      <c r="A3" s="40" t="inlineStr">
        <is>
          <t>EXAMPLE SOURCE — to activate, uncomment this tab in IMPORT_TABS in FIRE_Template.gs, then re-run Setup.</t>
        </is>
      </c>
    </row>
    <row r="4">
      <c r="A4" s="9" t="inlineStr">
        <is>
          <t>Date</t>
        </is>
      </c>
      <c r="B4" s="9" t="inlineStr">
        <is>
          <t>Description</t>
        </is>
      </c>
      <c r="C4" s="9" t="inlineStr">
        <is>
          <t>Amount</t>
        </is>
      </c>
      <c r="D4" s="9" t="inlineStr">
        <is>
          <t>Account</t>
        </is>
      </c>
      <c r="E4" s="9" t="inlineStr">
        <is>
          <t>Category (auto)</t>
        </is>
      </c>
    </row>
    <row r="5">
      <c r="A5" s="37" t="n"/>
      <c r="C5" s="39" t="n"/>
    </row>
    <row r="6">
      <c r="A6" s="37" t="n"/>
      <c r="C6" s="39" t="n"/>
    </row>
    <row r="7">
      <c r="A7" s="37" t="n"/>
      <c r="C7" s="39" t="n"/>
    </row>
    <row r="8">
      <c r="A8" s="37" t="n"/>
      <c r="C8" s="39" t="n"/>
    </row>
    <row r="9">
      <c r="A9" s="37" t="n"/>
      <c r="C9" s="39" t="n"/>
    </row>
    <row r="10">
      <c r="A10" s="37" t="n"/>
      <c r="C10" s="39" t="n"/>
    </row>
    <row r="11">
      <c r="A11" s="37" t="n"/>
      <c r="C11" s="39" t="n"/>
    </row>
    <row r="12">
      <c r="A12" s="37" t="n"/>
      <c r="C12" s="39" t="n"/>
    </row>
    <row r="13">
      <c r="A13" s="37" t="n"/>
      <c r="C13" s="39" t="n"/>
    </row>
    <row r="14">
      <c r="A14" s="37" t="n"/>
      <c r="C14" s="39" t="n"/>
    </row>
    <row r="15">
      <c r="A15" s="37" t="n"/>
      <c r="C15" s="39" t="n"/>
    </row>
    <row r="16">
      <c r="A16" s="37" t="n"/>
      <c r="C16" s="39" t="n"/>
    </row>
    <row r="17">
      <c r="A17" s="37" t="n"/>
      <c r="C17" s="39" t="n"/>
    </row>
    <row r="18">
      <c r="A18" s="37" t="n"/>
      <c r="C18" s="39" t="n"/>
    </row>
    <row r="19">
      <c r="A19" s="37" t="n"/>
      <c r="C19" s="39" t="n"/>
    </row>
    <row r="20">
      <c r="A20" s="37" t="n"/>
      <c r="C20" s="39" t="n"/>
    </row>
    <row r="21">
      <c r="A21" s="37" t="n"/>
      <c r="C21" s="39" t="n"/>
    </row>
    <row r="22">
      <c r="A22" s="37" t="n"/>
      <c r="C22" s="39" t="n"/>
    </row>
    <row r="23">
      <c r="A23" s="37" t="n"/>
      <c r="C23" s="39" t="n"/>
    </row>
    <row r="24">
      <c r="A24" s="37" t="n"/>
      <c r="C24" s="39" t="n"/>
    </row>
    <row r="25">
      <c r="A25" s="37" t="n"/>
      <c r="C25" s="39" t="n"/>
    </row>
    <row r="26">
      <c r="A26" s="37" t="n"/>
      <c r="C26" s="39" t="n"/>
    </row>
    <row r="27">
      <c r="A27" s="37" t="n"/>
      <c r="C27" s="39" t="n"/>
    </row>
    <row r="28">
      <c r="A28" s="37" t="n"/>
      <c r="C28" s="39" t="n"/>
    </row>
    <row r="29">
      <c r="A29" s="37" t="n"/>
      <c r="C29" s="39" t="n"/>
    </row>
    <row r="30">
      <c r="A30" s="37" t="n"/>
      <c r="C30" s="39" t="n"/>
    </row>
    <row r="31">
      <c r="A31" s="37" t="n"/>
      <c r="C31" s="39" t="n"/>
    </row>
    <row r="32">
      <c r="A32" s="37" t="n"/>
      <c r="C32" s="39" t="n"/>
    </row>
    <row r="33">
      <c r="A33" s="37" t="n"/>
      <c r="C33" s="39" t="n"/>
    </row>
    <row r="34">
      <c r="A34" s="37" t="n"/>
      <c r="C34" s="39" t="n"/>
    </row>
    <row r="35">
      <c r="A35" s="37" t="n"/>
      <c r="C35" s="39" t="n"/>
    </row>
    <row r="36">
      <c r="A36" s="37" t="n"/>
      <c r="C36" s="39" t="n"/>
    </row>
    <row r="37">
      <c r="A37" s="37" t="n"/>
      <c r="C37" s="39" t="n"/>
    </row>
    <row r="38">
      <c r="A38" s="37" t="n"/>
      <c r="C38" s="39" t="n"/>
    </row>
    <row r="39">
      <c r="A39" s="37" t="n"/>
      <c r="C39" s="39" t="n"/>
    </row>
    <row r="40">
      <c r="A40" s="37" t="n"/>
      <c r="C40" s="39" t="n"/>
    </row>
    <row r="41">
      <c r="A41" s="37" t="n"/>
      <c r="C41" s="39" t="n"/>
    </row>
    <row r="42">
      <c r="A42" s="37" t="n"/>
      <c r="C42" s="39" t="n"/>
    </row>
    <row r="43">
      <c r="A43" s="37" t="n"/>
      <c r="C43" s="39" t="n"/>
    </row>
    <row r="44">
      <c r="A44" s="37" t="n"/>
      <c r="C44" s="39" t="n"/>
    </row>
    <row r="45">
      <c r="A45" s="37" t="n"/>
      <c r="C45" s="39" t="n"/>
    </row>
    <row r="46">
      <c r="A46" s="37" t="n"/>
      <c r="C46" s="39" t="n"/>
    </row>
    <row r="47">
      <c r="A47" s="37" t="n"/>
      <c r="C47" s="39" t="n"/>
    </row>
    <row r="48">
      <c r="A48" s="37" t="n"/>
      <c r="C48" s="39" t="n"/>
    </row>
    <row r="49">
      <c r="A49" s="37" t="n"/>
      <c r="C49" s="39" t="n"/>
    </row>
    <row r="50">
      <c r="A50" s="37" t="n"/>
      <c r="C50" s="39" t="n"/>
    </row>
    <row r="51">
      <c r="A51" s="37" t="n"/>
      <c r="C51" s="39" t="n"/>
    </row>
    <row r="52">
      <c r="A52" s="37" t="n"/>
      <c r="C52" s="39" t="n"/>
    </row>
    <row r="53">
      <c r="A53" s="37" t="n"/>
      <c r="C53" s="39" t="n"/>
    </row>
    <row r="54">
      <c r="A54" s="37" t="n"/>
      <c r="C54" s="39" t="n"/>
    </row>
    <row r="55">
      <c r="A55" s="37" t="n"/>
      <c r="C55" s="39" t="n"/>
    </row>
    <row r="56">
      <c r="A56" s="37" t="n"/>
      <c r="C56" s="39" t="n"/>
    </row>
    <row r="57">
      <c r="A57" s="37" t="n"/>
      <c r="C57" s="39" t="n"/>
    </row>
    <row r="58">
      <c r="A58" s="37" t="n"/>
      <c r="C58" s="39" t="n"/>
    </row>
    <row r="59">
      <c r="A59" s="37" t="n"/>
      <c r="C59" s="39" t="n"/>
    </row>
    <row r="60">
      <c r="A60" s="37" t="n"/>
      <c r="C60" s="39" t="n"/>
    </row>
    <row r="61">
      <c r="A61" s="37" t="n"/>
      <c r="C61" s="39" t="n"/>
    </row>
    <row r="62">
      <c r="A62" s="37" t="n"/>
      <c r="C62" s="39" t="n"/>
    </row>
    <row r="63">
      <c r="A63" s="37" t="n"/>
      <c r="C63" s="39" t="n"/>
    </row>
    <row r="64">
      <c r="A64" s="37" t="n"/>
      <c r="C64" s="39" t="n"/>
    </row>
    <row r="65">
      <c r="A65" s="37" t="n"/>
      <c r="C65" s="39" t="n"/>
    </row>
    <row r="66">
      <c r="A66" s="37" t="n"/>
      <c r="C66" s="39" t="n"/>
    </row>
    <row r="67">
      <c r="A67" s="37" t="n"/>
      <c r="C67" s="39" t="n"/>
    </row>
    <row r="68">
      <c r="A68" s="37" t="n"/>
      <c r="C68" s="39" t="n"/>
    </row>
    <row r="69">
      <c r="A69" s="37" t="n"/>
      <c r="C69" s="39" t="n"/>
    </row>
    <row r="70">
      <c r="A70" s="37" t="n"/>
      <c r="C70" s="39" t="n"/>
    </row>
    <row r="71">
      <c r="A71" s="37" t="n"/>
      <c r="C71" s="39" t="n"/>
    </row>
    <row r="72">
      <c r="A72" s="37" t="n"/>
      <c r="C72" s="39" t="n"/>
    </row>
    <row r="73">
      <c r="A73" s="37" t="n"/>
      <c r="C73" s="39" t="n"/>
    </row>
    <row r="74">
      <c r="A74" s="37" t="n"/>
      <c r="C74" s="39" t="n"/>
    </row>
    <row r="75">
      <c r="A75" s="37" t="n"/>
      <c r="C75" s="39" t="n"/>
    </row>
    <row r="76">
      <c r="A76" s="37" t="n"/>
      <c r="C76" s="39" t="n"/>
    </row>
    <row r="77">
      <c r="A77" s="37" t="n"/>
      <c r="C77" s="39" t="n"/>
    </row>
    <row r="78">
      <c r="A78" s="37" t="n"/>
      <c r="C78" s="39" t="n"/>
    </row>
    <row r="79">
      <c r="A79" s="37" t="n"/>
      <c r="C79" s="39" t="n"/>
    </row>
    <row r="80">
      <c r="A80" s="37" t="n"/>
      <c r="C80" s="39" t="n"/>
    </row>
    <row r="81">
      <c r="A81" s="37" t="n"/>
      <c r="C81" s="39" t="n"/>
    </row>
    <row r="82">
      <c r="A82" s="37" t="n"/>
      <c r="C82" s="39" t="n"/>
    </row>
    <row r="83">
      <c r="A83" s="37" t="n"/>
      <c r="C83" s="39" t="n"/>
    </row>
    <row r="84">
      <c r="A84" s="37" t="n"/>
      <c r="C84" s="39" t="n"/>
    </row>
    <row r="85">
      <c r="A85" s="37" t="n"/>
      <c r="C85" s="39" t="n"/>
    </row>
    <row r="86">
      <c r="A86" s="37" t="n"/>
      <c r="C86" s="39" t="n"/>
    </row>
    <row r="87">
      <c r="A87" s="37" t="n"/>
      <c r="C87" s="39" t="n"/>
    </row>
    <row r="88">
      <c r="A88" s="37" t="n"/>
      <c r="C88" s="39" t="n"/>
    </row>
    <row r="89">
      <c r="A89" s="37" t="n"/>
      <c r="C89" s="39" t="n"/>
    </row>
    <row r="90">
      <c r="A90" s="37" t="n"/>
      <c r="C90" s="39" t="n"/>
    </row>
    <row r="91">
      <c r="A91" s="37" t="n"/>
      <c r="C91" s="39" t="n"/>
    </row>
    <row r="92">
      <c r="A92" s="37" t="n"/>
      <c r="C92" s="39" t="n"/>
    </row>
    <row r="93">
      <c r="A93" s="37" t="n"/>
      <c r="C93" s="39" t="n"/>
    </row>
    <row r="94">
      <c r="A94" s="37" t="n"/>
      <c r="C94" s="39" t="n"/>
    </row>
    <row r="95">
      <c r="A95" s="37" t="n"/>
      <c r="C95" s="39" t="n"/>
    </row>
    <row r="96">
      <c r="A96" s="37" t="n"/>
      <c r="C96" s="39" t="n"/>
    </row>
    <row r="97">
      <c r="A97" s="37" t="n"/>
      <c r="C97" s="39" t="n"/>
    </row>
    <row r="98">
      <c r="A98" s="37" t="n"/>
      <c r="C98" s="39" t="n"/>
    </row>
    <row r="99">
      <c r="A99" s="37" t="n"/>
      <c r="C99" s="39" t="n"/>
    </row>
    <row r="100">
      <c r="A100" s="37" t="n"/>
      <c r="C100" s="39" t="n"/>
    </row>
    <row r="101">
      <c r="A101" s="37" t="n"/>
      <c r="C101" s="39" t="n"/>
    </row>
    <row r="102">
      <c r="A102" s="37" t="n"/>
      <c r="C102" s="39" t="n"/>
    </row>
    <row r="103">
      <c r="A103" s="37" t="n"/>
      <c r="C103" s="39" t="n"/>
    </row>
    <row r="104">
      <c r="A104" s="37" t="n"/>
      <c r="C104" s="39" t="n"/>
    </row>
    <row r="105">
      <c r="A105" s="37" t="n"/>
      <c r="C105" s="39" t="n"/>
    </row>
    <row r="106">
      <c r="A106" s="37" t="n"/>
      <c r="C106" s="39" t="n"/>
    </row>
    <row r="107">
      <c r="A107" s="37" t="n"/>
      <c r="C107" s="39" t="n"/>
    </row>
    <row r="108">
      <c r="A108" s="37" t="n"/>
      <c r="C108" s="39" t="n"/>
    </row>
    <row r="109">
      <c r="A109" s="37" t="n"/>
      <c r="C109" s="39" t="n"/>
    </row>
    <row r="110">
      <c r="A110" s="37" t="n"/>
      <c r="C110" s="39" t="n"/>
    </row>
    <row r="111">
      <c r="A111" s="37" t="n"/>
      <c r="C111" s="39" t="n"/>
    </row>
    <row r="112">
      <c r="A112" s="37" t="n"/>
      <c r="C112" s="39" t="n"/>
    </row>
    <row r="113">
      <c r="A113" s="37" t="n"/>
      <c r="C113" s="39" t="n"/>
    </row>
    <row r="114">
      <c r="A114" s="37" t="n"/>
      <c r="C114" s="39" t="n"/>
    </row>
    <row r="115">
      <c r="A115" s="37" t="n"/>
      <c r="C115" s="39" t="n"/>
    </row>
    <row r="116">
      <c r="A116" s="37" t="n"/>
      <c r="C116" s="39" t="n"/>
    </row>
    <row r="117">
      <c r="A117" s="37" t="n"/>
      <c r="C117" s="39" t="n"/>
    </row>
    <row r="118">
      <c r="A118" s="37" t="n"/>
      <c r="C118" s="39" t="n"/>
    </row>
    <row r="119">
      <c r="A119" s="37" t="n"/>
      <c r="C119" s="39" t="n"/>
    </row>
    <row r="120">
      <c r="A120" s="37" t="n"/>
      <c r="C120" s="39" t="n"/>
    </row>
    <row r="121">
      <c r="A121" s="37" t="n"/>
      <c r="C121" s="39" t="n"/>
    </row>
    <row r="122">
      <c r="A122" s="37" t="n"/>
      <c r="C122" s="39" t="n"/>
    </row>
    <row r="123">
      <c r="A123" s="37" t="n"/>
      <c r="C123" s="39" t="n"/>
    </row>
    <row r="124">
      <c r="A124" s="37" t="n"/>
      <c r="C124" s="39" t="n"/>
    </row>
    <row r="125">
      <c r="A125" s="37" t="n"/>
      <c r="C125" s="39" t="n"/>
    </row>
    <row r="126">
      <c r="A126" s="37" t="n"/>
      <c r="C126" s="39" t="n"/>
    </row>
    <row r="127">
      <c r="A127" s="37" t="n"/>
      <c r="C127" s="39" t="n"/>
    </row>
    <row r="128">
      <c r="A128" s="37" t="n"/>
      <c r="C128" s="39" t="n"/>
    </row>
    <row r="129">
      <c r="A129" s="37" t="n"/>
      <c r="C129" s="39" t="n"/>
    </row>
    <row r="130">
      <c r="A130" s="37" t="n"/>
      <c r="C130" s="39" t="n"/>
    </row>
    <row r="131">
      <c r="A131" s="37" t="n"/>
      <c r="C131" s="39" t="n"/>
    </row>
    <row r="132">
      <c r="A132" s="37" t="n"/>
      <c r="C132" s="39" t="n"/>
    </row>
    <row r="133">
      <c r="A133" s="37" t="n"/>
      <c r="C133" s="39" t="n"/>
    </row>
    <row r="134">
      <c r="A134" s="37" t="n"/>
      <c r="C134" s="39" t="n"/>
    </row>
    <row r="135">
      <c r="A135" s="37" t="n"/>
      <c r="C135" s="39" t="n"/>
    </row>
    <row r="136">
      <c r="A136" s="37" t="n"/>
      <c r="C136" s="39" t="n"/>
    </row>
    <row r="137">
      <c r="A137" s="37" t="n"/>
      <c r="C137" s="39" t="n"/>
    </row>
    <row r="138">
      <c r="A138" s="37" t="n"/>
      <c r="C138" s="39" t="n"/>
    </row>
    <row r="139">
      <c r="A139" s="37" t="n"/>
      <c r="C139" s="39" t="n"/>
    </row>
    <row r="140">
      <c r="A140" s="37" t="n"/>
      <c r="C140" s="39" t="n"/>
    </row>
    <row r="141">
      <c r="A141" s="37" t="n"/>
      <c r="C141" s="39" t="n"/>
    </row>
    <row r="142">
      <c r="A142" s="37" t="n"/>
      <c r="C142" s="39" t="n"/>
    </row>
    <row r="143">
      <c r="A143" s="37" t="n"/>
      <c r="C143" s="39" t="n"/>
    </row>
    <row r="144">
      <c r="A144" s="37" t="n"/>
      <c r="C144" s="39" t="n"/>
    </row>
    <row r="145">
      <c r="A145" s="37" t="n"/>
      <c r="C145" s="39" t="n"/>
    </row>
    <row r="146">
      <c r="A146" s="37" t="n"/>
      <c r="C146" s="39" t="n"/>
    </row>
    <row r="147">
      <c r="A147" s="37" t="n"/>
      <c r="C147" s="39" t="n"/>
    </row>
    <row r="148">
      <c r="A148" s="37" t="n"/>
      <c r="C148" s="39" t="n"/>
    </row>
    <row r="149">
      <c r="A149" s="37" t="n"/>
      <c r="C149" s="39" t="n"/>
    </row>
    <row r="150">
      <c r="A150" s="37" t="n"/>
      <c r="C150" s="39" t="n"/>
    </row>
    <row r="151">
      <c r="A151" s="37" t="n"/>
      <c r="C151" s="39" t="n"/>
    </row>
    <row r="152">
      <c r="A152" s="37" t="n"/>
      <c r="C152" s="39" t="n"/>
    </row>
    <row r="153">
      <c r="A153" s="37" t="n"/>
      <c r="C153" s="39" t="n"/>
    </row>
    <row r="154">
      <c r="A154" s="37" t="n"/>
      <c r="C154" s="39" t="n"/>
    </row>
    <row r="155">
      <c r="A155" s="37" t="n"/>
      <c r="C155" s="39" t="n"/>
    </row>
    <row r="156">
      <c r="A156" s="37" t="n"/>
      <c r="C156" s="39" t="n"/>
    </row>
    <row r="157">
      <c r="A157" s="37" t="n"/>
      <c r="C157" s="39" t="n"/>
    </row>
    <row r="158">
      <c r="A158" s="37" t="n"/>
      <c r="C158" s="39" t="n"/>
    </row>
    <row r="159">
      <c r="A159" s="37" t="n"/>
      <c r="C159" s="39" t="n"/>
    </row>
    <row r="160">
      <c r="A160" s="37" t="n"/>
      <c r="C160" s="39" t="n"/>
    </row>
    <row r="161">
      <c r="A161" s="37" t="n"/>
      <c r="C161" s="39" t="n"/>
    </row>
    <row r="162">
      <c r="A162" s="37" t="n"/>
      <c r="C162" s="39" t="n"/>
    </row>
    <row r="163">
      <c r="A163" s="37" t="n"/>
      <c r="C163" s="39" t="n"/>
    </row>
    <row r="164">
      <c r="A164" s="37" t="n"/>
      <c r="C164" s="39" t="n"/>
    </row>
    <row r="165">
      <c r="A165" s="37" t="n"/>
      <c r="C165" s="39" t="n"/>
    </row>
    <row r="166">
      <c r="A166" s="37" t="n"/>
      <c r="C166" s="39" t="n"/>
    </row>
    <row r="167">
      <c r="A167" s="37" t="n"/>
      <c r="C167" s="39" t="n"/>
    </row>
    <row r="168">
      <c r="A168" s="37" t="n"/>
      <c r="C168" s="39" t="n"/>
    </row>
    <row r="169">
      <c r="A169" s="37" t="n"/>
      <c r="C169" s="39" t="n"/>
    </row>
    <row r="170">
      <c r="A170" s="37" t="n"/>
      <c r="C170" s="39" t="n"/>
    </row>
    <row r="171">
      <c r="A171" s="37" t="n"/>
      <c r="C171" s="39" t="n"/>
    </row>
    <row r="172">
      <c r="A172" s="37" t="n"/>
      <c r="C172" s="39" t="n"/>
    </row>
    <row r="173">
      <c r="A173" s="37" t="n"/>
      <c r="C173" s="39" t="n"/>
    </row>
    <row r="174">
      <c r="A174" s="37" t="n"/>
      <c r="C174" s="39" t="n"/>
    </row>
    <row r="175">
      <c r="A175" s="37" t="n"/>
      <c r="C175" s="39" t="n"/>
    </row>
    <row r="176">
      <c r="A176" s="37" t="n"/>
      <c r="C176" s="39" t="n"/>
    </row>
    <row r="177">
      <c r="A177" s="37" t="n"/>
      <c r="C177" s="39" t="n"/>
    </row>
    <row r="178">
      <c r="A178" s="37" t="n"/>
      <c r="C178" s="39" t="n"/>
    </row>
    <row r="179">
      <c r="A179" s="37" t="n"/>
      <c r="C179" s="39" t="n"/>
    </row>
    <row r="180">
      <c r="A180" s="37" t="n"/>
      <c r="C180" s="39" t="n"/>
    </row>
    <row r="181">
      <c r="A181" s="37" t="n"/>
      <c r="C181" s="39" t="n"/>
    </row>
    <row r="182">
      <c r="A182" s="37" t="n"/>
      <c r="C182" s="39" t="n"/>
    </row>
    <row r="183">
      <c r="A183" s="37" t="n"/>
      <c r="C183" s="39" t="n"/>
    </row>
    <row r="184">
      <c r="A184" s="37" t="n"/>
      <c r="C184" s="39" t="n"/>
    </row>
    <row r="185">
      <c r="A185" s="37" t="n"/>
      <c r="C185" s="39" t="n"/>
    </row>
    <row r="186">
      <c r="A186" s="37" t="n"/>
      <c r="C186" s="39" t="n"/>
    </row>
    <row r="187">
      <c r="A187" s="37" t="n"/>
      <c r="C187" s="39" t="n"/>
    </row>
    <row r="188">
      <c r="A188" s="37" t="n"/>
      <c r="C188" s="39" t="n"/>
    </row>
    <row r="189">
      <c r="A189" s="37" t="n"/>
      <c r="C189" s="39" t="n"/>
    </row>
    <row r="190">
      <c r="A190" s="37" t="n"/>
      <c r="C190" s="39" t="n"/>
    </row>
    <row r="191">
      <c r="A191" s="37" t="n"/>
      <c r="C191" s="39" t="n"/>
    </row>
    <row r="192">
      <c r="A192" s="37" t="n"/>
      <c r="C192" s="39" t="n"/>
    </row>
    <row r="193">
      <c r="A193" s="37" t="n"/>
      <c r="C193" s="39" t="n"/>
    </row>
    <row r="194">
      <c r="A194" s="37" t="n"/>
      <c r="C194" s="39" t="n"/>
    </row>
    <row r="195">
      <c r="A195" s="37" t="n"/>
      <c r="C195" s="39" t="n"/>
    </row>
    <row r="196">
      <c r="A196" s="37" t="n"/>
      <c r="C196" s="39" t="n"/>
    </row>
    <row r="197">
      <c r="A197" s="37" t="n"/>
      <c r="C197" s="39" t="n"/>
    </row>
    <row r="198">
      <c r="A198" s="37" t="n"/>
      <c r="C198" s="39" t="n"/>
    </row>
    <row r="199">
      <c r="A199" s="37" t="n"/>
      <c r="C199" s="39" t="n"/>
    </row>
    <row r="200">
      <c r="A200" s="37" t="n"/>
      <c r="C200" s="39" t="n"/>
    </row>
    <row r="201">
      <c r="A201" s="37" t="n"/>
      <c r="C201" s="39" t="n"/>
    </row>
    <row r="202">
      <c r="A202" s="37" t="n"/>
      <c r="C202" s="39" t="n"/>
    </row>
    <row r="203">
      <c r="A203" s="37" t="n"/>
      <c r="C203" s="39" t="n"/>
    </row>
    <row r="204">
      <c r="A204" s="37" t="n"/>
      <c r="C204" s="39" t="n"/>
    </row>
    <row r="205">
      <c r="A205" s="37" t="n"/>
      <c r="C205" s="39" t="n"/>
    </row>
    <row r="206">
      <c r="A206" s="37" t="n"/>
      <c r="C206" s="39" t="n"/>
    </row>
    <row r="207">
      <c r="A207" s="37" t="n"/>
      <c r="C207" s="39" t="n"/>
    </row>
    <row r="208">
      <c r="A208" s="37" t="n"/>
      <c r="C208" s="39" t="n"/>
    </row>
    <row r="209">
      <c r="A209" s="37" t="n"/>
      <c r="C209" s="39" t="n"/>
    </row>
    <row r="210">
      <c r="A210" s="37" t="n"/>
      <c r="C210" s="39" t="n"/>
    </row>
    <row r="211">
      <c r="A211" s="37" t="n"/>
      <c r="C211" s="39" t="n"/>
    </row>
    <row r="212">
      <c r="A212" s="37" t="n"/>
      <c r="C212" s="39" t="n"/>
    </row>
    <row r="213">
      <c r="A213" s="37" t="n"/>
      <c r="C213" s="39" t="n"/>
    </row>
    <row r="214">
      <c r="A214" s="37" t="n"/>
      <c r="C214" s="39" t="n"/>
    </row>
    <row r="215">
      <c r="A215" s="37" t="n"/>
      <c r="C215" s="39" t="n"/>
    </row>
    <row r="216">
      <c r="A216" s="37" t="n"/>
      <c r="C216" s="39" t="n"/>
    </row>
    <row r="217">
      <c r="A217" s="37" t="n"/>
      <c r="C217" s="39" t="n"/>
    </row>
    <row r="218">
      <c r="A218" s="37" t="n"/>
      <c r="C218" s="39" t="n"/>
    </row>
    <row r="219">
      <c r="A219" s="37" t="n"/>
      <c r="C219" s="39" t="n"/>
    </row>
    <row r="220">
      <c r="A220" s="37" t="n"/>
      <c r="C220" s="39" t="n"/>
    </row>
    <row r="221">
      <c r="A221" s="37" t="n"/>
      <c r="C221" s="39" t="n"/>
    </row>
    <row r="222">
      <c r="A222" s="37" t="n"/>
      <c r="C222" s="39" t="n"/>
    </row>
    <row r="223">
      <c r="A223" s="37" t="n"/>
      <c r="C223" s="39" t="n"/>
    </row>
    <row r="224">
      <c r="A224" s="37" t="n"/>
      <c r="C224" s="39" t="n"/>
    </row>
    <row r="225">
      <c r="A225" s="37" t="n"/>
      <c r="C225" s="39" t="n"/>
    </row>
    <row r="226">
      <c r="A226" s="37" t="n"/>
      <c r="C226" s="39" t="n"/>
    </row>
    <row r="227">
      <c r="A227" s="37" t="n"/>
      <c r="C227" s="39" t="n"/>
    </row>
    <row r="228">
      <c r="A228" s="37" t="n"/>
      <c r="C228" s="39" t="n"/>
    </row>
    <row r="229">
      <c r="A229" s="37" t="n"/>
      <c r="C229" s="39" t="n"/>
    </row>
    <row r="230">
      <c r="A230" s="37" t="n"/>
      <c r="C230" s="39" t="n"/>
    </row>
    <row r="231">
      <c r="A231" s="37" t="n"/>
      <c r="C231" s="39" t="n"/>
    </row>
    <row r="232">
      <c r="A232" s="37" t="n"/>
      <c r="C232" s="39" t="n"/>
    </row>
    <row r="233">
      <c r="A233" s="37" t="n"/>
      <c r="C233" s="39" t="n"/>
    </row>
    <row r="234">
      <c r="A234" s="37" t="n"/>
      <c r="C234" s="39" t="n"/>
    </row>
    <row r="235">
      <c r="A235" s="37" t="n"/>
      <c r="C235" s="39" t="n"/>
    </row>
    <row r="236">
      <c r="A236" s="37" t="n"/>
      <c r="C236" s="39" t="n"/>
    </row>
    <row r="237">
      <c r="A237" s="37" t="n"/>
      <c r="C237" s="39" t="n"/>
    </row>
    <row r="238">
      <c r="A238" s="37" t="n"/>
      <c r="C238" s="39" t="n"/>
    </row>
    <row r="239">
      <c r="A239" s="37" t="n"/>
      <c r="C239" s="39" t="n"/>
    </row>
    <row r="240">
      <c r="A240" s="37" t="n"/>
      <c r="C240" s="39" t="n"/>
    </row>
    <row r="241">
      <c r="A241" s="37" t="n"/>
      <c r="C241" s="39" t="n"/>
    </row>
    <row r="242">
      <c r="A242" s="37" t="n"/>
      <c r="C242" s="39" t="n"/>
    </row>
    <row r="243">
      <c r="A243" s="37" t="n"/>
      <c r="C243" s="39" t="n"/>
    </row>
    <row r="244">
      <c r="A244" s="37" t="n"/>
      <c r="C244" s="39" t="n"/>
    </row>
    <row r="245">
      <c r="A245" s="37" t="n"/>
      <c r="C245" s="39" t="n"/>
    </row>
    <row r="246">
      <c r="A246" s="37" t="n"/>
      <c r="C246" s="39" t="n"/>
    </row>
    <row r="247">
      <c r="A247" s="37" t="n"/>
      <c r="C247" s="39" t="n"/>
    </row>
    <row r="248">
      <c r="A248" s="37" t="n"/>
      <c r="C248" s="39" t="n"/>
    </row>
    <row r="249">
      <c r="A249" s="37" t="n"/>
      <c r="C249" s="39" t="n"/>
    </row>
    <row r="250">
      <c r="A250" s="37" t="n"/>
      <c r="C250" s="39" t="n"/>
    </row>
    <row r="251">
      <c r="A251" s="37" t="n"/>
      <c r="C251" s="39" t="n"/>
    </row>
    <row r="252">
      <c r="A252" s="37" t="n"/>
      <c r="C252" s="39" t="n"/>
    </row>
    <row r="253">
      <c r="A253" s="37" t="n"/>
      <c r="C253" s="39" t="n"/>
    </row>
    <row r="254">
      <c r="A254" s="37" t="n"/>
      <c r="C254" s="39" t="n"/>
    </row>
    <row r="255">
      <c r="A255" s="37" t="n"/>
      <c r="C255" s="39" t="n"/>
    </row>
    <row r="256">
      <c r="A256" s="37" t="n"/>
      <c r="C256" s="39" t="n"/>
    </row>
    <row r="257">
      <c r="A257" s="37" t="n"/>
      <c r="C257" s="39" t="n"/>
    </row>
    <row r="258">
      <c r="A258" s="37" t="n"/>
      <c r="C258" s="39" t="n"/>
    </row>
    <row r="259">
      <c r="A259" s="37" t="n"/>
      <c r="C259" s="39" t="n"/>
    </row>
    <row r="260">
      <c r="A260" s="37" t="n"/>
      <c r="C260" s="39" t="n"/>
    </row>
    <row r="261">
      <c r="A261" s="37" t="n"/>
      <c r="C261" s="39" t="n"/>
    </row>
    <row r="262">
      <c r="A262" s="37" t="n"/>
      <c r="C262" s="39" t="n"/>
    </row>
    <row r="263">
      <c r="A263" s="37" t="n"/>
      <c r="C263" s="39" t="n"/>
    </row>
    <row r="264">
      <c r="A264" s="37" t="n"/>
      <c r="C264" s="39" t="n"/>
    </row>
    <row r="265">
      <c r="A265" s="37" t="n"/>
      <c r="C265" s="39" t="n"/>
    </row>
    <row r="266">
      <c r="A266" s="37" t="n"/>
      <c r="C266" s="39" t="n"/>
    </row>
    <row r="267">
      <c r="A267" s="37" t="n"/>
      <c r="C267" s="39" t="n"/>
    </row>
    <row r="268">
      <c r="A268" s="37" t="n"/>
      <c r="C268" s="39" t="n"/>
    </row>
    <row r="269">
      <c r="A269" s="37" t="n"/>
      <c r="C269" s="39" t="n"/>
    </row>
    <row r="270">
      <c r="A270" s="37" t="n"/>
      <c r="C270" s="39" t="n"/>
    </row>
    <row r="271">
      <c r="A271" s="37" t="n"/>
      <c r="C271" s="39" t="n"/>
    </row>
    <row r="272">
      <c r="A272" s="37" t="n"/>
      <c r="C272" s="39" t="n"/>
    </row>
    <row r="273">
      <c r="A273" s="37" t="n"/>
      <c r="C273" s="39" t="n"/>
    </row>
    <row r="274">
      <c r="A274" s="37" t="n"/>
      <c r="C274" s="39" t="n"/>
    </row>
    <row r="275">
      <c r="A275" s="37" t="n"/>
      <c r="C275" s="39" t="n"/>
    </row>
    <row r="276">
      <c r="A276" s="37" t="n"/>
      <c r="C276" s="39" t="n"/>
    </row>
    <row r="277">
      <c r="A277" s="37" t="n"/>
      <c r="C277" s="39" t="n"/>
    </row>
    <row r="278">
      <c r="A278" s="37" t="n"/>
      <c r="C278" s="39" t="n"/>
    </row>
    <row r="279">
      <c r="A279" s="37" t="n"/>
      <c r="C279" s="39" t="n"/>
    </row>
    <row r="280">
      <c r="A280" s="37" t="n"/>
      <c r="C280" s="39" t="n"/>
    </row>
    <row r="281">
      <c r="A281" s="37" t="n"/>
      <c r="C281" s="39" t="n"/>
    </row>
    <row r="282">
      <c r="A282" s="37" t="n"/>
      <c r="C282" s="39" t="n"/>
    </row>
    <row r="283">
      <c r="A283" s="37" t="n"/>
      <c r="C283" s="39" t="n"/>
    </row>
    <row r="284">
      <c r="A284" s="37" t="n"/>
      <c r="C284" s="39" t="n"/>
    </row>
    <row r="285">
      <c r="A285" s="37" t="n"/>
      <c r="C285" s="39" t="n"/>
    </row>
    <row r="286">
      <c r="A286" s="37" t="n"/>
      <c r="C286" s="39" t="n"/>
    </row>
    <row r="287">
      <c r="A287" s="37" t="n"/>
      <c r="C287" s="39" t="n"/>
    </row>
    <row r="288">
      <c r="A288" s="37" t="n"/>
      <c r="C288" s="39" t="n"/>
    </row>
    <row r="289">
      <c r="A289" s="37" t="n"/>
      <c r="C289" s="39" t="n"/>
    </row>
    <row r="290">
      <c r="A290" s="37" t="n"/>
      <c r="C290" s="39" t="n"/>
    </row>
    <row r="291">
      <c r="A291" s="37" t="n"/>
      <c r="C291" s="39" t="n"/>
    </row>
    <row r="292">
      <c r="A292" s="37" t="n"/>
      <c r="C292" s="39" t="n"/>
    </row>
    <row r="293">
      <c r="A293" s="37" t="n"/>
      <c r="C293" s="39" t="n"/>
    </row>
    <row r="294">
      <c r="A294" s="37" t="n"/>
      <c r="C294" s="39" t="n"/>
    </row>
    <row r="295">
      <c r="A295" s="37" t="n"/>
      <c r="C295" s="39" t="n"/>
    </row>
    <row r="296">
      <c r="A296" s="37" t="n"/>
      <c r="C296" s="39" t="n"/>
    </row>
    <row r="297">
      <c r="A297" s="37" t="n"/>
      <c r="C297" s="39" t="n"/>
    </row>
    <row r="298">
      <c r="A298" s="37" t="n"/>
      <c r="C298" s="39" t="n"/>
    </row>
    <row r="299">
      <c r="A299" s="37" t="n"/>
      <c r="C299" s="39" t="n"/>
    </row>
    <row r="300">
      <c r="A300" s="37" t="n"/>
      <c r="C300" s="39" t="n"/>
    </row>
    <row r="301">
      <c r="A301" s="37" t="n"/>
      <c r="C301" s="39" t="n"/>
    </row>
    <row r="302">
      <c r="A302" s="37" t="n"/>
      <c r="C302" s="39" t="n"/>
    </row>
    <row r="303">
      <c r="A303" s="37" t="n"/>
      <c r="C303" s="39" t="n"/>
    </row>
    <row r="304">
      <c r="A304" s="37" t="n"/>
      <c r="C304" s="39" t="n"/>
    </row>
    <row r="305">
      <c r="A305" s="37" t="n"/>
      <c r="C305" s="39" t="n"/>
    </row>
    <row r="306">
      <c r="A306" s="37" t="n"/>
      <c r="C306" s="39" t="n"/>
    </row>
    <row r="307">
      <c r="A307" s="37" t="n"/>
      <c r="C307" s="39" t="n"/>
    </row>
    <row r="308">
      <c r="A308" s="37" t="n"/>
      <c r="C308" s="39" t="n"/>
    </row>
    <row r="309">
      <c r="A309" s="37" t="n"/>
      <c r="C309" s="39" t="n"/>
    </row>
    <row r="310">
      <c r="A310" s="37" t="n"/>
      <c r="C310" s="39" t="n"/>
    </row>
    <row r="311">
      <c r="A311" s="37" t="n"/>
      <c r="C311" s="39" t="n"/>
    </row>
    <row r="312">
      <c r="A312" s="37" t="n"/>
      <c r="C312" s="39" t="n"/>
    </row>
    <row r="313">
      <c r="A313" s="37" t="n"/>
      <c r="C313" s="39" t="n"/>
    </row>
    <row r="314">
      <c r="A314" s="37" t="n"/>
      <c r="C314" s="39" t="n"/>
    </row>
    <row r="315">
      <c r="A315" s="37" t="n"/>
      <c r="C315" s="39" t="n"/>
    </row>
    <row r="316">
      <c r="A316" s="37" t="n"/>
      <c r="C316" s="39" t="n"/>
    </row>
    <row r="317">
      <c r="A317" s="37" t="n"/>
      <c r="C317" s="39" t="n"/>
    </row>
    <row r="318">
      <c r="A318" s="37" t="n"/>
      <c r="C318" s="39" t="n"/>
    </row>
    <row r="319">
      <c r="A319" s="37" t="n"/>
      <c r="C319" s="39" t="n"/>
    </row>
    <row r="320">
      <c r="A320" s="37" t="n"/>
      <c r="C320" s="39" t="n"/>
    </row>
    <row r="321">
      <c r="A321" s="37" t="n"/>
      <c r="C321" s="39" t="n"/>
    </row>
    <row r="322">
      <c r="A322" s="37" t="n"/>
      <c r="C322" s="39" t="n"/>
    </row>
    <row r="323">
      <c r="A323" s="37" t="n"/>
      <c r="C323" s="39" t="n"/>
    </row>
    <row r="324">
      <c r="A324" s="37" t="n"/>
      <c r="C324" s="39" t="n"/>
    </row>
    <row r="325">
      <c r="A325" s="37" t="n"/>
      <c r="C325" s="39" t="n"/>
    </row>
    <row r="326">
      <c r="A326" s="37" t="n"/>
      <c r="C326" s="39" t="n"/>
    </row>
    <row r="327">
      <c r="A327" s="37" t="n"/>
      <c r="C327" s="39" t="n"/>
    </row>
    <row r="328">
      <c r="A328" s="37" t="n"/>
      <c r="C328" s="39" t="n"/>
    </row>
    <row r="329">
      <c r="A329" s="37" t="n"/>
      <c r="C329" s="39" t="n"/>
    </row>
    <row r="330">
      <c r="A330" s="37" t="n"/>
      <c r="C330" s="39" t="n"/>
    </row>
    <row r="331">
      <c r="A331" s="37" t="n"/>
      <c r="C331" s="39" t="n"/>
    </row>
    <row r="332">
      <c r="A332" s="37" t="n"/>
      <c r="C332" s="39" t="n"/>
    </row>
    <row r="333">
      <c r="A333" s="37" t="n"/>
      <c r="C333" s="39" t="n"/>
    </row>
    <row r="334">
      <c r="A334" s="37" t="n"/>
      <c r="C334" s="39" t="n"/>
    </row>
    <row r="335">
      <c r="A335" s="37" t="n"/>
      <c r="C335" s="39" t="n"/>
    </row>
    <row r="336">
      <c r="A336" s="37" t="n"/>
      <c r="C336" s="39" t="n"/>
    </row>
    <row r="337">
      <c r="A337" s="37" t="n"/>
      <c r="C337" s="39" t="n"/>
    </row>
    <row r="338">
      <c r="A338" s="37" t="n"/>
      <c r="C338" s="39" t="n"/>
    </row>
    <row r="339">
      <c r="A339" s="37" t="n"/>
      <c r="C339" s="39" t="n"/>
    </row>
    <row r="340">
      <c r="A340" s="37" t="n"/>
      <c r="C340" s="39" t="n"/>
    </row>
    <row r="341">
      <c r="A341" s="37" t="n"/>
      <c r="C341" s="39" t="n"/>
    </row>
    <row r="342">
      <c r="A342" s="37" t="n"/>
      <c r="C342" s="39" t="n"/>
    </row>
    <row r="343">
      <c r="A343" s="37" t="n"/>
      <c r="C343" s="39" t="n"/>
    </row>
    <row r="344">
      <c r="A344" s="37" t="n"/>
      <c r="C344" s="39" t="n"/>
    </row>
    <row r="345">
      <c r="A345" s="37" t="n"/>
      <c r="C345" s="39" t="n"/>
    </row>
    <row r="346">
      <c r="A346" s="37" t="n"/>
      <c r="C346" s="39" t="n"/>
    </row>
    <row r="347">
      <c r="A347" s="37" t="n"/>
      <c r="C347" s="39" t="n"/>
    </row>
    <row r="348">
      <c r="A348" s="37" t="n"/>
      <c r="C348" s="39" t="n"/>
    </row>
    <row r="349">
      <c r="A349" s="37" t="n"/>
      <c r="C349" s="39" t="n"/>
    </row>
    <row r="350">
      <c r="A350" s="37" t="n"/>
      <c r="C350" s="39" t="n"/>
    </row>
    <row r="351">
      <c r="A351" s="37" t="n"/>
      <c r="C351" s="39" t="n"/>
    </row>
    <row r="352">
      <c r="A352" s="37" t="n"/>
      <c r="C352" s="39" t="n"/>
    </row>
    <row r="353">
      <c r="A353" s="37" t="n"/>
      <c r="C353" s="39" t="n"/>
    </row>
    <row r="354">
      <c r="A354" s="37" t="n"/>
      <c r="C354" s="39" t="n"/>
    </row>
    <row r="355">
      <c r="A355" s="37" t="n"/>
      <c r="C355" s="39" t="n"/>
    </row>
    <row r="356">
      <c r="A356" s="37" t="n"/>
      <c r="C356" s="39" t="n"/>
    </row>
    <row r="357">
      <c r="A357" s="37" t="n"/>
      <c r="C357" s="39" t="n"/>
    </row>
    <row r="358">
      <c r="A358" s="37" t="n"/>
      <c r="C358" s="39" t="n"/>
    </row>
    <row r="359">
      <c r="A359" s="37" t="n"/>
      <c r="C359" s="39" t="n"/>
    </row>
    <row r="360">
      <c r="A360" s="37" t="n"/>
      <c r="C360" s="39" t="n"/>
    </row>
    <row r="361">
      <c r="A361" s="37" t="n"/>
      <c r="C361" s="39" t="n"/>
    </row>
    <row r="362">
      <c r="A362" s="37" t="n"/>
      <c r="C362" s="39" t="n"/>
    </row>
    <row r="363">
      <c r="A363" s="37" t="n"/>
      <c r="C363" s="39" t="n"/>
    </row>
    <row r="364">
      <c r="A364" s="37" t="n"/>
      <c r="C364" s="39" t="n"/>
    </row>
    <row r="365">
      <c r="A365" s="37" t="n"/>
      <c r="C365" s="39" t="n"/>
    </row>
    <row r="366">
      <c r="A366" s="37" t="n"/>
      <c r="C366" s="39" t="n"/>
    </row>
    <row r="367">
      <c r="A367" s="37" t="n"/>
      <c r="C367" s="39" t="n"/>
    </row>
    <row r="368">
      <c r="A368" s="37" t="n"/>
      <c r="C368" s="39" t="n"/>
    </row>
    <row r="369">
      <c r="A369" s="37" t="n"/>
      <c r="C369" s="39" t="n"/>
    </row>
    <row r="370">
      <c r="A370" s="37" t="n"/>
      <c r="C370" s="39" t="n"/>
    </row>
    <row r="371">
      <c r="A371" s="37" t="n"/>
      <c r="C371" s="39" t="n"/>
    </row>
    <row r="372">
      <c r="A372" s="37" t="n"/>
      <c r="C372" s="39" t="n"/>
    </row>
    <row r="373">
      <c r="A373" s="37" t="n"/>
      <c r="C373" s="39" t="n"/>
    </row>
    <row r="374">
      <c r="A374" s="37" t="n"/>
      <c r="C374" s="39" t="n"/>
    </row>
    <row r="375">
      <c r="A375" s="37" t="n"/>
      <c r="C375" s="39" t="n"/>
    </row>
    <row r="376">
      <c r="A376" s="37" t="n"/>
      <c r="C376" s="39" t="n"/>
    </row>
    <row r="377">
      <c r="A377" s="37" t="n"/>
      <c r="C377" s="39" t="n"/>
    </row>
    <row r="378">
      <c r="A378" s="37" t="n"/>
      <c r="C378" s="39" t="n"/>
    </row>
    <row r="379">
      <c r="A379" s="37" t="n"/>
      <c r="C379" s="39" t="n"/>
    </row>
    <row r="380">
      <c r="A380" s="37" t="n"/>
      <c r="C380" s="39" t="n"/>
    </row>
    <row r="381">
      <c r="A381" s="37" t="n"/>
      <c r="C381" s="39" t="n"/>
    </row>
    <row r="382">
      <c r="A382" s="37" t="n"/>
      <c r="C382" s="39" t="n"/>
    </row>
    <row r="383">
      <c r="A383" s="37" t="n"/>
      <c r="C383" s="39" t="n"/>
    </row>
    <row r="384">
      <c r="A384" s="37" t="n"/>
      <c r="C384" s="39" t="n"/>
    </row>
    <row r="385">
      <c r="A385" s="37" t="n"/>
      <c r="C385" s="39" t="n"/>
    </row>
    <row r="386">
      <c r="A386" s="37" t="n"/>
      <c r="C386" s="39" t="n"/>
    </row>
    <row r="387">
      <c r="A387" s="37" t="n"/>
      <c r="C387" s="39" t="n"/>
    </row>
    <row r="388">
      <c r="A388" s="37" t="n"/>
      <c r="C388" s="39" t="n"/>
    </row>
    <row r="389">
      <c r="A389" s="37" t="n"/>
      <c r="C389" s="39" t="n"/>
    </row>
    <row r="390">
      <c r="A390" s="37" t="n"/>
      <c r="C390" s="39" t="n"/>
    </row>
    <row r="391">
      <c r="A391" s="37" t="n"/>
      <c r="C391" s="39" t="n"/>
    </row>
    <row r="392">
      <c r="A392" s="37" t="n"/>
      <c r="C392" s="39" t="n"/>
    </row>
    <row r="393">
      <c r="A393" s="37" t="n"/>
      <c r="C393" s="39" t="n"/>
    </row>
    <row r="394">
      <c r="A394" s="37" t="n"/>
      <c r="C394" s="39" t="n"/>
    </row>
    <row r="395">
      <c r="A395" s="37" t="n"/>
      <c r="C395" s="39" t="n"/>
    </row>
    <row r="396">
      <c r="A396" s="37" t="n"/>
      <c r="C396" s="39" t="n"/>
    </row>
    <row r="397">
      <c r="A397" s="37" t="n"/>
      <c r="C397" s="39" t="n"/>
    </row>
    <row r="398">
      <c r="A398" s="37" t="n"/>
      <c r="C398" s="39" t="n"/>
    </row>
    <row r="399">
      <c r="A399" s="37" t="n"/>
      <c r="C399" s="39" t="n"/>
    </row>
    <row r="400">
      <c r="A400" s="37" t="n"/>
      <c r="C400" s="39" t="n"/>
    </row>
    <row r="401">
      <c r="A401" s="37" t="n"/>
      <c r="C401" s="39" t="n"/>
    </row>
    <row r="402">
      <c r="A402" s="37" t="n"/>
      <c r="C402" s="39" t="n"/>
    </row>
    <row r="403">
      <c r="A403" s="37" t="n"/>
      <c r="C403" s="39" t="n"/>
    </row>
    <row r="404">
      <c r="A404" s="37" t="n"/>
      <c r="C404" s="39" t="n"/>
    </row>
    <row r="405">
      <c r="A405" s="37" t="n"/>
      <c r="C405" s="39" t="n"/>
    </row>
    <row r="406">
      <c r="A406" s="37" t="n"/>
      <c r="C406" s="39" t="n"/>
    </row>
    <row r="407">
      <c r="A407" s="37" t="n"/>
      <c r="C407" s="39" t="n"/>
    </row>
    <row r="408">
      <c r="A408" s="37" t="n"/>
      <c r="C408" s="39" t="n"/>
    </row>
    <row r="409">
      <c r="A409" s="37" t="n"/>
      <c r="C409" s="39" t="n"/>
    </row>
    <row r="410">
      <c r="A410" s="37" t="n"/>
      <c r="C410" s="39" t="n"/>
    </row>
    <row r="411">
      <c r="A411" s="37" t="n"/>
      <c r="C411" s="39" t="n"/>
    </row>
    <row r="412">
      <c r="A412" s="37" t="n"/>
      <c r="C412" s="39" t="n"/>
    </row>
    <row r="413">
      <c r="A413" s="37" t="n"/>
      <c r="C413" s="39" t="n"/>
    </row>
    <row r="414">
      <c r="A414" s="37" t="n"/>
      <c r="C414" s="39" t="n"/>
    </row>
    <row r="415">
      <c r="A415" s="37" t="n"/>
      <c r="C415" s="39" t="n"/>
    </row>
    <row r="416">
      <c r="A416" s="37" t="n"/>
      <c r="C416" s="39" t="n"/>
    </row>
    <row r="417">
      <c r="A417" s="37" t="n"/>
      <c r="C417" s="39" t="n"/>
    </row>
    <row r="418">
      <c r="A418" s="37" t="n"/>
      <c r="C418" s="39" t="n"/>
    </row>
    <row r="419">
      <c r="A419" s="37" t="n"/>
      <c r="C419" s="39" t="n"/>
    </row>
    <row r="420">
      <c r="A420" s="37" t="n"/>
      <c r="C420" s="39" t="n"/>
    </row>
    <row r="421">
      <c r="A421" s="37" t="n"/>
      <c r="C421" s="39" t="n"/>
    </row>
    <row r="422">
      <c r="A422" s="37" t="n"/>
      <c r="C422" s="39" t="n"/>
    </row>
    <row r="423">
      <c r="A423" s="37" t="n"/>
      <c r="C423" s="39" t="n"/>
    </row>
    <row r="424">
      <c r="A424" s="37" t="n"/>
      <c r="C424" s="39" t="n"/>
    </row>
    <row r="425">
      <c r="A425" s="37" t="n"/>
      <c r="C425" s="39" t="n"/>
    </row>
    <row r="426">
      <c r="A426" s="37" t="n"/>
      <c r="C426" s="39" t="n"/>
    </row>
    <row r="427">
      <c r="A427" s="37" t="n"/>
      <c r="C427" s="39" t="n"/>
    </row>
    <row r="428">
      <c r="A428" s="37" t="n"/>
      <c r="C428" s="39" t="n"/>
    </row>
    <row r="429">
      <c r="A429" s="37" t="n"/>
      <c r="C429" s="39" t="n"/>
    </row>
    <row r="430">
      <c r="A430" s="37" t="n"/>
      <c r="C430" s="39" t="n"/>
    </row>
    <row r="431">
      <c r="A431" s="37" t="n"/>
      <c r="C431" s="39" t="n"/>
    </row>
    <row r="432">
      <c r="A432" s="37" t="n"/>
      <c r="C432" s="39" t="n"/>
    </row>
    <row r="433">
      <c r="A433" s="37" t="n"/>
      <c r="C433" s="39" t="n"/>
    </row>
    <row r="434">
      <c r="A434" s="37" t="n"/>
      <c r="C434" s="39" t="n"/>
    </row>
    <row r="435">
      <c r="A435" s="37" t="n"/>
      <c r="C435" s="39" t="n"/>
    </row>
    <row r="436">
      <c r="A436" s="37" t="n"/>
      <c r="C436" s="39" t="n"/>
    </row>
    <row r="437">
      <c r="A437" s="37" t="n"/>
      <c r="C437" s="39" t="n"/>
    </row>
    <row r="438">
      <c r="A438" s="37" t="n"/>
      <c r="C438" s="39" t="n"/>
    </row>
    <row r="439">
      <c r="A439" s="37" t="n"/>
      <c r="C439" s="39" t="n"/>
    </row>
    <row r="440">
      <c r="A440" s="37" t="n"/>
      <c r="C440" s="39" t="n"/>
    </row>
    <row r="441">
      <c r="A441" s="37" t="n"/>
      <c r="C441" s="39" t="n"/>
    </row>
    <row r="442">
      <c r="A442" s="37" t="n"/>
      <c r="C442" s="39" t="n"/>
    </row>
    <row r="443">
      <c r="A443" s="37" t="n"/>
      <c r="C443" s="39" t="n"/>
    </row>
    <row r="444">
      <c r="A444" s="37" t="n"/>
      <c r="C444" s="39" t="n"/>
    </row>
    <row r="445">
      <c r="A445" s="37" t="n"/>
      <c r="C445" s="39" t="n"/>
    </row>
    <row r="446">
      <c r="A446" s="37" t="n"/>
      <c r="C446" s="39" t="n"/>
    </row>
    <row r="447">
      <c r="A447" s="37" t="n"/>
      <c r="C447" s="39" t="n"/>
    </row>
    <row r="448">
      <c r="A448" s="37" t="n"/>
      <c r="C448" s="39" t="n"/>
    </row>
    <row r="449">
      <c r="A449" s="37" t="n"/>
      <c r="C449" s="39" t="n"/>
    </row>
    <row r="450">
      <c r="A450" s="37" t="n"/>
      <c r="C450" s="39" t="n"/>
    </row>
    <row r="451">
      <c r="A451" s="37" t="n"/>
      <c r="C451" s="39" t="n"/>
    </row>
    <row r="452">
      <c r="A452" s="37" t="n"/>
      <c r="C452" s="39" t="n"/>
    </row>
    <row r="453">
      <c r="A453" s="37" t="n"/>
      <c r="C453" s="39" t="n"/>
    </row>
    <row r="454">
      <c r="A454" s="37" t="n"/>
      <c r="C454" s="39" t="n"/>
    </row>
    <row r="455">
      <c r="A455" s="37" t="n"/>
      <c r="C455" s="39" t="n"/>
    </row>
    <row r="456">
      <c r="A456" s="37" t="n"/>
      <c r="C456" s="39" t="n"/>
    </row>
    <row r="457">
      <c r="A457" s="37" t="n"/>
      <c r="C457" s="39" t="n"/>
    </row>
    <row r="458">
      <c r="A458" s="37" t="n"/>
      <c r="C458" s="39" t="n"/>
    </row>
    <row r="459">
      <c r="A459" s="37" t="n"/>
      <c r="C459" s="39" t="n"/>
    </row>
    <row r="460">
      <c r="A460" s="37" t="n"/>
      <c r="C460" s="39" t="n"/>
    </row>
    <row r="461">
      <c r="A461" s="37" t="n"/>
      <c r="C461" s="39" t="n"/>
    </row>
    <row r="462">
      <c r="A462" s="37" t="n"/>
      <c r="C462" s="39" t="n"/>
    </row>
    <row r="463">
      <c r="A463" s="37" t="n"/>
      <c r="C463" s="39" t="n"/>
    </row>
    <row r="464">
      <c r="A464" s="37" t="n"/>
      <c r="C464" s="39" t="n"/>
    </row>
    <row r="465">
      <c r="A465" s="37" t="n"/>
      <c r="C465" s="39" t="n"/>
    </row>
    <row r="466">
      <c r="A466" s="37" t="n"/>
      <c r="C466" s="39" t="n"/>
    </row>
    <row r="467">
      <c r="A467" s="37" t="n"/>
      <c r="C467" s="39" t="n"/>
    </row>
    <row r="468">
      <c r="A468" s="37" t="n"/>
      <c r="C468" s="39" t="n"/>
    </row>
    <row r="469">
      <c r="A469" s="37" t="n"/>
      <c r="C469" s="39" t="n"/>
    </row>
    <row r="470">
      <c r="A470" s="37" t="n"/>
      <c r="C470" s="39" t="n"/>
    </row>
    <row r="471">
      <c r="A471" s="37" t="n"/>
      <c r="C471" s="39" t="n"/>
    </row>
    <row r="472">
      <c r="A472" s="37" t="n"/>
      <c r="C472" s="39" t="n"/>
    </row>
    <row r="473">
      <c r="A473" s="37" t="n"/>
      <c r="C473" s="39" t="n"/>
    </row>
    <row r="474">
      <c r="A474" s="37" t="n"/>
      <c r="C474" s="39" t="n"/>
    </row>
    <row r="475">
      <c r="A475" s="37" t="n"/>
      <c r="C475" s="39" t="n"/>
    </row>
    <row r="476">
      <c r="A476" s="37" t="n"/>
      <c r="C476" s="39" t="n"/>
    </row>
    <row r="477">
      <c r="A477" s="37" t="n"/>
      <c r="C477" s="39" t="n"/>
    </row>
    <row r="478">
      <c r="A478" s="37" t="n"/>
      <c r="C478" s="39" t="n"/>
    </row>
    <row r="479">
      <c r="A479" s="37" t="n"/>
      <c r="C479" s="39" t="n"/>
    </row>
    <row r="480">
      <c r="A480" s="37" t="n"/>
      <c r="C480" s="39" t="n"/>
    </row>
    <row r="481">
      <c r="A481" s="37" t="n"/>
      <c r="C481" s="39" t="n"/>
    </row>
    <row r="482">
      <c r="A482" s="37" t="n"/>
      <c r="C482" s="39" t="n"/>
    </row>
    <row r="483">
      <c r="A483" s="37" t="n"/>
      <c r="C483" s="39" t="n"/>
    </row>
    <row r="484">
      <c r="A484" s="37" t="n"/>
      <c r="C484" s="39" t="n"/>
    </row>
    <row r="485">
      <c r="A485" s="37" t="n"/>
      <c r="C485" s="39" t="n"/>
    </row>
    <row r="486">
      <c r="A486" s="37" t="n"/>
      <c r="C486" s="39" t="n"/>
    </row>
    <row r="487">
      <c r="A487" s="37" t="n"/>
      <c r="C487" s="39" t="n"/>
    </row>
    <row r="488">
      <c r="A488" s="37" t="n"/>
      <c r="C488" s="39" t="n"/>
    </row>
    <row r="489">
      <c r="A489" s="37" t="n"/>
      <c r="C489" s="39" t="n"/>
    </row>
    <row r="490">
      <c r="A490" s="37" t="n"/>
      <c r="C490" s="39" t="n"/>
    </row>
    <row r="491">
      <c r="A491" s="37" t="n"/>
      <c r="C491" s="39" t="n"/>
    </row>
    <row r="492">
      <c r="A492" s="37" t="n"/>
      <c r="C492" s="39" t="n"/>
    </row>
    <row r="493">
      <c r="A493" s="37" t="n"/>
      <c r="C493" s="39" t="n"/>
    </row>
    <row r="494">
      <c r="A494" s="37" t="n"/>
      <c r="C494" s="39" t="n"/>
    </row>
    <row r="495">
      <c r="A495" s="37" t="n"/>
      <c r="C495" s="39" t="n"/>
    </row>
    <row r="496">
      <c r="A496" s="37" t="n"/>
      <c r="C496" s="39" t="n"/>
    </row>
    <row r="497">
      <c r="A497" s="37" t="n"/>
      <c r="C497" s="39" t="n"/>
    </row>
    <row r="498">
      <c r="A498" s="37" t="n"/>
      <c r="C498" s="39" t="n"/>
    </row>
    <row r="499">
      <c r="A499" s="37" t="n"/>
      <c r="C499" s="39" t="n"/>
    </row>
    <row r="500">
      <c r="A500" s="37" t="n"/>
      <c r="C500" s="39" t="n"/>
    </row>
    <row r="501">
      <c r="A501" s="37" t="n"/>
      <c r="C501" s="39" t="n"/>
    </row>
    <row r="502">
      <c r="A502" s="37" t="n"/>
      <c r="C502" s="39" t="n"/>
    </row>
    <row r="503">
      <c r="A503" s="37" t="n"/>
      <c r="C503" s="39" t="n"/>
    </row>
    <row r="504">
      <c r="A504" s="37" t="n"/>
      <c r="C504" s="39" t="n"/>
    </row>
    <row r="505">
      <c r="A505" s="37" t="n"/>
      <c r="C505" s="39" t="n"/>
    </row>
    <row r="506">
      <c r="A506" s="37" t="n"/>
      <c r="C506" s="39" t="n"/>
    </row>
    <row r="507">
      <c r="A507" s="37" t="n"/>
      <c r="C507" s="39" t="n"/>
    </row>
    <row r="508">
      <c r="A508" s="37" t="n"/>
      <c r="C508" s="39" t="n"/>
    </row>
    <row r="509">
      <c r="A509" s="37" t="n"/>
      <c r="C509" s="39" t="n"/>
    </row>
    <row r="510">
      <c r="A510" s="37" t="n"/>
      <c r="C510" s="39" t="n"/>
    </row>
    <row r="511">
      <c r="A511" s="37" t="n"/>
      <c r="C511" s="39" t="n"/>
    </row>
    <row r="512">
      <c r="A512" s="37" t="n"/>
      <c r="C512" s="39" t="n"/>
    </row>
    <row r="513">
      <c r="A513" s="37" t="n"/>
      <c r="C513" s="39" t="n"/>
    </row>
    <row r="514">
      <c r="A514" s="37" t="n"/>
      <c r="C514" s="39" t="n"/>
    </row>
    <row r="515">
      <c r="A515" s="37" t="n"/>
      <c r="C515" s="39" t="n"/>
    </row>
    <row r="516">
      <c r="A516" s="37" t="n"/>
      <c r="C516" s="39" t="n"/>
    </row>
    <row r="517">
      <c r="A517" s="37" t="n"/>
      <c r="C517" s="39" t="n"/>
    </row>
    <row r="518">
      <c r="A518" s="37" t="n"/>
      <c r="C518" s="39" t="n"/>
    </row>
    <row r="519">
      <c r="A519" s="37" t="n"/>
      <c r="C519" s="39" t="n"/>
    </row>
    <row r="520">
      <c r="A520" s="37" t="n"/>
      <c r="C520" s="39" t="n"/>
    </row>
    <row r="521">
      <c r="A521" s="37" t="n"/>
      <c r="C521" s="39" t="n"/>
    </row>
    <row r="522">
      <c r="A522" s="37" t="n"/>
      <c r="C522" s="39" t="n"/>
    </row>
    <row r="523">
      <c r="A523" s="37" t="n"/>
      <c r="C523" s="39" t="n"/>
    </row>
    <row r="524">
      <c r="A524" s="37" t="n"/>
      <c r="C524" s="39" t="n"/>
    </row>
    <row r="525">
      <c r="A525" s="37" t="n"/>
      <c r="C525" s="39" t="n"/>
    </row>
    <row r="526">
      <c r="A526" s="37" t="n"/>
      <c r="C526" s="39" t="n"/>
    </row>
    <row r="527">
      <c r="A527" s="37" t="n"/>
      <c r="C527" s="39" t="n"/>
    </row>
    <row r="528">
      <c r="A528" s="37" t="n"/>
      <c r="C528" s="39" t="n"/>
    </row>
    <row r="529">
      <c r="A529" s="37" t="n"/>
      <c r="C529" s="39" t="n"/>
    </row>
    <row r="530">
      <c r="A530" s="37" t="n"/>
      <c r="C530" s="39" t="n"/>
    </row>
    <row r="531">
      <c r="A531" s="37" t="n"/>
      <c r="C531" s="39" t="n"/>
    </row>
    <row r="532">
      <c r="A532" s="37" t="n"/>
      <c r="C532" s="39" t="n"/>
    </row>
    <row r="533">
      <c r="A533" s="37" t="n"/>
      <c r="C533" s="39" t="n"/>
    </row>
    <row r="534">
      <c r="A534" s="37" t="n"/>
      <c r="C534" s="39" t="n"/>
    </row>
    <row r="535">
      <c r="A535" s="37" t="n"/>
      <c r="C535" s="39" t="n"/>
    </row>
    <row r="536">
      <c r="A536" s="37" t="n"/>
      <c r="C536" s="39" t="n"/>
    </row>
    <row r="537">
      <c r="A537" s="37" t="n"/>
      <c r="C537" s="39" t="n"/>
    </row>
    <row r="538">
      <c r="A538" s="37" t="n"/>
      <c r="C538" s="39" t="n"/>
    </row>
    <row r="539">
      <c r="A539" s="37" t="n"/>
      <c r="C539" s="39" t="n"/>
    </row>
    <row r="540">
      <c r="A540" s="37" t="n"/>
      <c r="C540" s="39" t="n"/>
    </row>
    <row r="541">
      <c r="A541" s="37" t="n"/>
      <c r="C541" s="39" t="n"/>
    </row>
    <row r="542">
      <c r="A542" s="37" t="n"/>
      <c r="C542" s="39" t="n"/>
    </row>
    <row r="543">
      <c r="A543" s="37" t="n"/>
      <c r="C543" s="39" t="n"/>
    </row>
    <row r="544">
      <c r="A544" s="37" t="n"/>
      <c r="C544" s="39" t="n"/>
    </row>
    <row r="545">
      <c r="A545" s="37" t="n"/>
      <c r="C545" s="39" t="n"/>
    </row>
    <row r="546">
      <c r="A546" s="37" t="n"/>
      <c r="C546" s="39" t="n"/>
    </row>
    <row r="547">
      <c r="A547" s="37" t="n"/>
      <c r="C547" s="39" t="n"/>
    </row>
    <row r="548">
      <c r="A548" s="37" t="n"/>
      <c r="C548" s="39" t="n"/>
    </row>
    <row r="549">
      <c r="A549" s="37" t="n"/>
      <c r="C549" s="39" t="n"/>
    </row>
    <row r="550">
      <c r="A550" s="37" t="n"/>
      <c r="C550" s="39" t="n"/>
    </row>
    <row r="551">
      <c r="A551" s="37" t="n"/>
      <c r="C551" s="39" t="n"/>
    </row>
    <row r="552">
      <c r="A552" s="37" t="n"/>
      <c r="C552" s="39" t="n"/>
    </row>
    <row r="553">
      <c r="A553" s="37" t="n"/>
      <c r="C553" s="39" t="n"/>
    </row>
    <row r="554">
      <c r="A554" s="37" t="n"/>
      <c r="C554" s="39" t="n"/>
    </row>
    <row r="555">
      <c r="A555" s="37" t="n"/>
      <c r="C555" s="39" t="n"/>
    </row>
    <row r="556">
      <c r="A556" s="37" t="n"/>
      <c r="C556" s="39" t="n"/>
    </row>
    <row r="557">
      <c r="A557" s="37" t="n"/>
      <c r="C557" s="39" t="n"/>
    </row>
    <row r="558">
      <c r="A558" s="37" t="n"/>
      <c r="C558" s="39" t="n"/>
    </row>
    <row r="559">
      <c r="A559" s="37" t="n"/>
      <c r="C559" s="39" t="n"/>
    </row>
    <row r="560">
      <c r="A560" s="37" t="n"/>
      <c r="C560" s="39" t="n"/>
    </row>
    <row r="561">
      <c r="A561" s="37" t="n"/>
      <c r="C561" s="39" t="n"/>
    </row>
    <row r="562">
      <c r="A562" s="37" t="n"/>
      <c r="C562" s="39" t="n"/>
    </row>
    <row r="563">
      <c r="A563" s="37" t="n"/>
      <c r="C563" s="39" t="n"/>
    </row>
    <row r="564">
      <c r="A564" s="37" t="n"/>
      <c r="C564" s="39" t="n"/>
    </row>
    <row r="565">
      <c r="A565" s="37" t="n"/>
      <c r="C565" s="39" t="n"/>
    </row>
    <row r="566">
      <c r="A566" s="37" t="n"/>
      <c r="C566" s="39" t="n"/>
    </row>
    <row r="567">
      <c r="A567" s="37" t="n"/>
      <c r="C567" s="39" t="n"/>
    </row>
    <row r="568">
      <c r="A568" s="37" t="n"/>
      <c r="C568" s="39" t="n"/>
    </row>
    <row r="569">
      <c r="A569" s="37" t="n"/>
      <c r="C569" s="39" t="n"/>
    </row>
    <row r="570">
      <c r="A570" s="37" t="n"/>
      <c r="C570" s="39" t="n"/>
    </row>
    <row r="571">
      <c r="A571" s="37" t="n"/>
      <c r="C571" s="39" t="n"/>
    </row>
    <row r="572">
      <c r="A572" s="37" t="n"/>
      <c r="C572" s="39" t="n"/>
    </row>
    <row r="573">
      <c r="A573" s="37" t="n"/>
      <c r="C573" s="39" t="n"/>
    </row>
    <row r="574">
      <c r="A574" s="37" t="n"/>
      <c r="C574" s="39" t="n"/>
    </row>
    <row r="575">
      <c r="A575" s="37" t="n"/>
      <c r="C575" s="39" t="n"/>
    </row>
    <row r="576">
      <c r="A576" s="37" t="n"/>
      <c r="C576" s="39" t="n"/>
    </row>
    <row r="577">
      <c r="A577" s="37" t="n"/>
      <c r="C577" s="39" t="n"/>
    </row>
    <row r="578">
      <c r="A578" s="37" t="n"/>
      <c r="C578" s="39" t="n"/>
    </row>
    <row r="579">
      <c r="A579" s="37" t="n"/>
      <c r="C579" s="39" t="n"/>
    </row>
    <row r="580">
      <c r="A580" s="37" t="n"/>
      <c r="C580" s="39" t="n"/>
    </row>
    <row r="581">
      <c r="A581" s="37" t="n"/>
      <c r="C581" s="39" t="n"/>
    </row>
    <row r="582">
      <c r="A582" s="37" t="n"/>
      <c r="C582" s="39" t="n"/>
    </row>
    <row r="583">
      <c r="A583" s="37" t="n"/>
      <c r="C583" s="39" t="n"/>
    </row>
    <row r="584">
      <c r="A584" s="37" t="n"/>
      <c r="C584" s="39" t="n"/>
    </row>
    <row r="585">
      <c r="A585" s="37" t="n"/>
      <c r="C585" s="39" t="n"/>
    </row>
    <row r="586">
      <c r="A586" s="37" t="n"/>
      <c r="C586" s="39" t="n"/>
    </row>
    <row r="587">
      <c r="A587" s="37" t="n"/>
      <c r="C587" s="39" t="n"/>
    </row>
    <row r="588">
      <c r="A588" s="37" t="n"/>
      <c r="C588" s="39" t="n"/>
    </row>
    <row r="589">
      <c r="A589" s="37" t="n"/>
      <c r="C589" s="39" t="n"/>
    </row>
    <row r="590">
      <c r="A590" s="37" t="n"/>
      <c r="C590" s="39" t="n"/>
    </row>
    <row r="591">
      <c r="A591" s="37" t="n"/>
      <c r="C591" s="39" t="n"/>
    </row>
    <row r="592">
      <c r="A592" s="37" t="n"/>
      <c r="C592" s="39" t="n"/>
    </row>
    <row r="593">
      <c r="A593" s="37" t="n"/>
      <c r="C593" s="39" t="n"/>
    </row>
    <row r="594">
      <c r="A594" s="37" t="n"/>
      <c r="C594" s="39" t="n"/>
    </row>
    <row r="595">
      <c r="A595" s="37" t="n"/>
      <c r="C595" s="39" t="n"/>
    </row>
    <row r="596">
      <c r="A596" s="37" t="n"/>
      <c r="C596" s="39" t="n"/>
    </row>
    <row r="597">
      <c r="A597" s="37" t="n"/>
      <c r="C597" s="39" t="n"/>
    </row>
    <row r="598">
      <c r="A598" s="37" t="n"/>
      <c r="C598" s="39" t="n"/>
    </row>
    <row r="599">
      <c r="A599" s="37" t="n"/>
      <c r="C599" s="39" t="n"/>
    </row>
    <row r="600">
      <c r="A600" s="37" t="n"/>
      <c r="C600" s="39" t="n"/>
    </row>
    <row r="601">
      <c r="A601" s="37" t="n"/>
      <c r="C601" s="39" t="n"/>
    </row>
    <row r="602">
      <c r="A602" s="37" t="n"/>
      <c r="C602" s="39" t="n"/>
    </row>
    <row r="603">
      <c r="A603" s="37" t="n"/>
      <c r="C603" s="39" t="n"/>
    </row>
    <row r="604">
      <c r="A604" s="37" t="n"/>
      <c r="C604" s="39" t="n"/>
    </row>
    <row r="605">
      <c r="A605" s="37" t="n"/>
      <c r="C605" s="39" t="n"/>
    </row>
    <row r="606">
      <c r="A606" s="37" t="n"/>
      <c r="C606" s="39" t="n"/>
    </row>
    <row r="607">
      <c r="A607" s="37" t="n"/>
      <c r="C607" s="39" t="n"/>
    </row>
    <row r="608">
      <c r="A608" s="37" t="n"/>
      <c r="C608" s="39" t="n"/>
    </row>
    <row r="609">
      <c r="A609" s="37" t="n"/>
      <c r="C609" s="39" t="n"/>
    </row>
    <row r="610">
      <c r="A610" s="37" t="n"/>
      <c r="C610" s="39" t="n"/>
    </row>
    <row r="611">
      <c r="A611" s="37" t="n"/>
      <c r="C611" s="39" t="n"/>
    </row>
    <row r="612">
      <c r="A612" s="37" t="n"/>
      <c r="C612" s="39" t="n"/>
    </row>
    <row r="613">
      <c r="A613" s="37" t="n"/>
      <c r="C613" s="39" t="n"/>
    </row>
    <row r="614">
      <c r="A614" s="37" t="n"/>
      <c r="C614" s="39" t="n"/>
    </row>
    <row r="615">
      <c r="A615" s="37" t="n"/>
      <c r="C615" s="39" t="n"/>
    </row>
    <row r="616">
      <c r="A616" s="37" t="n"/>
      <c r="C616" s="39" t="n"/>
    </row>
    <row r="617">
      <c r="A617" s="37" t="n"/>
      <c r="C617" s="39" t="n"/>
    </row>
    <row r="618">
      <c r="A618" s="37" t="n"/>
      <c r="C618" s="39" t="n"/>
    </row>
    <row r="619">
      <c r="A619" s="37" t="n"/>
      <c r="C619" s="39" t="n"/>
    </row>
    <row r="620">
      <c r="A620" s="37" t="n"/>
      <c r="C620" s="39" t="n"/>
    </row>
    <row r="621">
      <c r="A621" s="37" t="n"/>
      <c r="C621" s="39" t="n"/>
    </row>
    <row r="622">
      <c r="A622" s="37" t="n"/>
      <c r="C622" s="39" t="n"/>
    </row>
    <row r="623">
      <c r="A623" s="37" t="n"/>
      <c r="C623" s="39" t="n"/>
    </row>
    <row r="624">
      <c r="A624" s="37" t="n"/>
      <c r="C624" s="39" t="n"/>
    </row>
    <row r="625">
      <c r="A625" s="37" t="n"/>
      <c r="C625" s="39" t="n"/>
    </row>
    <row r="626">
      <c r="A626" s="37" t="n"/>
      <c r="C626" s="39" t="n"/>
    </row>
    <row r="627">
      <c r="A627" s="37" t="n"/>
      <c r="C627" s="39" t="n"/>
    </row>
    <row r="628">
      <c r="A628" s="37" t="n"/>
      <c r="C628" s="39" t="n"/>
    </row>
    <row r="629">
      <c r="A629" s="37" t="n"/>
      <c r="C629" s="39" t="n"/>
    </row>
    <row r="630">
      <c r="A630" s="37" t="n"/>
      <c r="C630" s="39" t="n"/>
    </row>
    <row r="631">
      <c r="A631" s="37" t="n"/>
      <c r="C631" s="39" t="n"/>
    </row>
    <row r="632">
      <c r="A632" s="37" t="n"/>
      <c r="C632" s="39" t="n"/>
    </row>
    <row r="633">
      <c r="A633" s="37" t="n"/>
      <c r="C633" s="39" t="n"/>
    </row>
    <row r="634">
      <c r="A634" s="37" t="n"/>
      <c r="C634" s="39" t="n"/>
    </row>
    <row r="635">
      <c r="A635" s="37" t="n"/>
      <c r="C635" s="39" t="n"/>
    </row>
    <row r="636">
      <c r="A636" s="37" t="n"/>
      <c r="C636" s="39" t="n"/>
    </row>
    <row r="637">
      <c r="A637" s="37" t="n"/>
      <c r="C637" s="39" t="n"/>
    </row>
    <row r="638">
      <c r="A638" s="37" t="n"/>
      <c r="C638" s="39" t="n"/>
    </row>
    <row r="639">
      <c r="A639" s="37" t="n"/>
      <c r="C639" s="39" t="n"/>
    </row>
    <row r="640">
      <c r="A640" s="37" t="n"/>
      <c r="C640" s="39" t="n"/>
    </row>
    <row r="641">
      <c r="A641" s="37" t="n"/>
      <c r="C641" s="39" t="n"/>
    </row>
    <row r="642">
      <c r="A642" s="37" t="n"/>
      <c r="C642" s="39" t="n"/>
    </row>
    <row r="643">
      <c r="A643" s="37" t="n"/>
      <c r="C643" s="39" t="n"/>
    </row>
    <row r="644">
      <c r="A644" s="37" t="n"/>
      <c r="C644" s="39" t="n"/>
    </row>
    <row r="645">
      <c r="A645" s="37" t="n"/>
      <c r="C645" s="39" t="n"/>
    </row>
    <row r="646">
      <c r="A646" s="37" t="n"/>
      <c r="C646" s="39" t="n"/>
    </row>
    <row r="647">
      <c r="A647" s="37" t="n"/>
      <c r="C647" s="39" t="n"/>
    </row>
    <row r="648">
      <c r="A648" s="37" t="n"/>
      <c r="C648" s="39" t="n"/>
    </row>
    <row r="649">
      <c r="A649" s="37" t="n"/>
      <c r="C649" s="39" t="n"/>
    </row>
    <row r="650">
      <c r="A650" s="37" t="n"/>
      <c r="C650" s="39" t="n"/>
    </row>
    <row r="651">
      <c r="A651" s="37" t="n"/>
      <c r="C651" s="39" t="n"/>
    </row>
    <row r="652">
      <c r="A652" s="37" t="n"/>
      <c r="C652" s="39" t="n"/>
    </row>
    <row r="653">
      <c r="A653" s="37" t="n"/>
      <c r="C653" s="39" t="n"/>
    </row>
    <row r="654">
      <c r="A654" s="37" t="n"/>
      <c r="C654" s="39" t="n"/>
    </row>
    <row r="655">
      <c r="A655" s="37" t="n"/>
      <c r="C655" s="39" t="n"/>
    </row>
    <row r="656">
      <c r="A656" s="37" t="n"/>
      <c r="C656" s="39" t="n"/>
    </row>
    <row r="657">
      <c r="A657" s="37" t="n"/>
      <c r="C657" s="39" t="n"/>
    </row>
    <row r="658">
      <c r="A658" s="37" t="n"/>
      <c r="C658" s="39" t="n"/>
    </row>
    <row r="659">
      <c r="A659" s="37" t="n"/>
      <c r="C659" s="39" t="n"/>
    </row>
    <row r="660">
      <c r="A660" s="37" t="n"/>
      <c r="C660" s="39" t="n"/>
    </row>
    <row r="661">
      <c r="A661" s="37" t="n"/>
      <c r="C661" s="39" t="n"/>
    </row>
    <row r="662">
      <c r="A662" s="37" t="n"/>
      <c r="C662" s="39" t="n"/>
    </row>
    <row r="663">
      <c r="A663" s="37" t="n"/>
      <c r="C663" s="39" t="n"/>
    </row>
    <row r="664">
      <c r="A664" s="37" t="n"/>
      <c r="C664" s="39" t="n"/>
    </row>
    <row r="665">
      <c r="A665" s="37" t="n"/>
      <c r="C665" s="39" t="n"/>
    </row>
    <row r="666">
      <c r="A666" s="37" t="n"/>
      <c r="C666" s="39" t="n"/>
    </row>
    <row r="667">
      <c r="A667" s="37" t="n"/>
      <c r="C667" s="39" t="n"/>
    </row>
    <row r="668">
      <c r="A668" s="37" t="n"/>
      <c r="C668" s="39" t="n"/>
    </row>
    <row r="669">
      <c r="A669" s="37" t="n"/>
      <c r="C669" s="39" t="n"/>
    </row>
    <row r="670">
      <c r="A670" s="37" t="n"/>
      <c r="C670" s="39" t="n"/>
    </row>
    <row r="671">
      <c r="A671" s="37" t="n"/>
      <c r="C671" s="39" t="n"/>
    </row>
    <row r="672">
      <c r="A672" s="37" t="n"/>
      <c r="C672" s="39" t="n"/>
    </row>
    <row r="673">
      <c r="A673" s="37" t="n"/>
      <c r="C673" s="39" t="n"/>
    </row>
    <row r="674">
      <c r="A674" s="37" t="n"/>
      <c r="C674" s="39" t="n"/>
    </row>
    <row r="675">
      <c r="A675" s="37" t="n"/>
      <c r="C675" s="39" t="n"/>
    </row>
    <row r="676">
      <c r="A676" s="37" t="n"/>
      <c r="C676" s="39" t="n"/>
    </row>
    <row r="677">
      <c r="A677" s="37" t="n"/>
      <c r="C677" s="39" t="n"/>
    </row>
    <row r="678">
      <c r="A678" s="37" t="n"/>
      <c r="C678" s="39" t="n"/>
    </row>
    <row r="679">
      <c r="A679" s="37" t="n"/>
      <c r="C679" s="39" t="n"/>
    </row>
    <row r="680">
      <c r="A680" s="37" t="n"/>
      <c r="C680" s="39" t="n"/>
    </row>
    <row r="681">
      <c r="A681" s="37" t="n"/>
      <c r="C681" s="39" t="n"/>
    </row>
    <row r="682">
      <c r="A682" s="37" t="n"/>
      <c r="C682" s="39" t="n"/>
    </row>
    <row r="683">
      <c r="A683" s="37" t="n"/>
      <c r="C683" s="39" t="n"/>
    </row>
    <row r="684">
      <c r="A684" s="37" t="n"/>
      <c r="C684" s="39" t="n"/>
    </row>
    <row r="685">
      <c r="A685" s="37" t="n"/>
      <c r="C685" s="39" t="n"/>
    </row>
    <row r="686">
      <c r="A686" s="37" t="n"/>
      <c r="C686" s="39" t="n"/>
    </row>
    <row r="687">
      <c r="A687" s="37" t="n"/>
      <c r="C687" s="39" t="n"/>
    </row>
    <row r="688">
      <c r="A688" s="37" t="n"/>
      <c r="C688" s="39" t="n"/>
    </row>
    <row r="689">
      <c r="A689" s="37" t="n"/>
      <c r="C689" s="39" t="n"/>
    </row>
    <row r="690">
      <c r="A690" s="37" t="n"/>
      <c r="C690" s="39" t="n"/>
    </row>
    <row r="691">
      <c r="A691" s="37" t="n"/>
      <c r="C691" s="39" t="n"/>
    </row>
    <row r="692">
      <c r="A692" s="37" t="n"/>
      <c r="C692" s="39" t="n"/>
    </row>
    <row r="693">
      <c r="A693" s="37" t="n"/>
      <c r="C693" s="39" t="n"/>
    </row>
    <row r="694">
      <c r="A694" s="37" t="n"/>
      <c r="C694" s="39" t="n"/>
    </row>
    <row r="695">
      <c r="A695" s="37" t="n"/>
      <c r="C695" s="39" t="n"/>
    </row>
    <row r="696">
      <c r="A696" s="37" t="n"/>
      <c r="C696" s="39" t="n"/>
    </row>
    <row r="697">
      <c r="A697" s="37" t="n"/>
      <c r="C697" s="39" t="n"/>
    </row>
    <row r="698">
      <c r="A698" s="37" t="n"/>
      <c r="C698" s="39" t="n"/>
    </row>
    <row r="699">
      <c r="A699" s="37" t="n"/>
      <c r="C699" s="39" t="n"/>
    </row>
    <row r="700">
      <c r="A700" s="37" t="n"/>
      <c r="C700" s="39" t="n"/>
    </row>
    <row r="701">
      <c r="A701" s="37" t="n"/>
      <c r="C701" s="39" t="n"/>
    </row>
    <row r="702">
      <c r="A702" s="37" t="n"/>
      <c r="C702" s="39" t="n"/>
    </row>
    <row r="703">
      <c r="A703" s="37" t="n"/>
      <c r="C703" s="39" t="n"/>
    </row>
    <row r="704">
      <c r="A704" s="37" t="n"/>
      <c r="C704" s="39" t="n"/>
    </row>
    <row r="705">
      <c r="A705" s="37" t="n"/>
      <c r="C705" s="39" t="n"/>
    </row>
    <row r="706">
      <c r="A706" s="37" t="n"/>
      <c r="C706" s="39" t="n"/>
    </row>
    <row r="707">
      <c r="A707" s="37" t="n"/>
      <c r="C707" s="39" t="n"/>
    </row>
    <row r="708">
      <c r="A708" s="37" t="n"/>
      <c r="C708" s="39" t="n"/>
    </row>
    <row r="709">
      <c r="A709" s="37" t="n"/>
      <c r="C709" s="39" t="n"/>
    </row>
    <row r="710">
      <c r="A710" s="37" t="n"/>
      <c r="C710" s="39" t="n"/>
    </row>
    <row r="711">
      <c r="A711" s="37" t="n"/>
      <c r="C711" s="39" t="n"/>
    </row>
    <row r="712">
      <c r="A712" s="37" t="n"/>
      <c r="C712" s="39" t="n"/>
    </row>
    <row r="713">
      <c r="A713" s="37" t="n"/>
      <c r="C713" s="39" t="n"/>
    </row>
    <row r="714">
      <c r="A714" s="37" t="n"/>
      <c r="C714" s="39" t="n"/>
    </row>
    <row r="715">
      <c r="A715" s="37" t="n"/>
      <c r="C715" s="39" t="n"/>
    </row>
    <row r="716">
      <c r="A716" s="37" t="n"/>
      <c r="C716" s="39" t="n"/>
    </row>
    <row r="717">
      <c r="A717" s="37" t="n"/>
      <c r="C717" s="39" t="n"/>
    </row>
    <row r="718">
      <c r="A718" s="37" t="n"/>
      <c r="C718" s="39" t="n"/>
    </row>
    <row r="719">
      <c r="A719" s="37" t="n"/>
      <c r="C719" s="39" t="n"/>
    </row>
    <row r="720">
      <c r="A720" s="37" t="n"/>
      <c r="C720" s="39" t="n"/>
    </row>
    <row r="721">
      <c r="A721" s="37" t="n"/>
      <c r="C721" s="39" t="n"/>
    </row>
    <row r="722">
      <c r="A722" s="37" t="n"/>
      <c r="C722" s="39" t="n"/>
    </row>
    <row r="723">
      <c r="A723" s="37" t="n"/>
      <c r="C723" s="39" t="n"/>
    </row>
    <row r="724">
      <c r="A724" s="37" t="n"/>
      <c r="C724" s="39" t="n"/>
    </row>
    <row r="725">
      <c r="A725" s="37" t="n"/>
      <c r="C725" s="39" t="n"/>
    </row>
    <row r="726">
      <c r="A726" s="37" t="n"/>
      <c r="C726" s="39" t="n"/>
    </row>
    <row r="727">
      <c r="A727" s="37" t="n"/>
      <c r="C727" s="39" t="n"/>
    </row>
    <row r="728">
      <c r="A728" s="37" t="n"/>
      <c r="C728" s="39" t="n"/>
    </row>
    <row r="729">
      <c r="A729" s="37" t="n"/>
      <c r="C729" s="39" t="n"/>
    </row>
    <row r="730">
      <c r="A730" s="37" t="n"/>
      <c r="C730" s="39" t="n"/>
    </row>
    <row r="731">
      <c r="A731" s="37" t="n"/>
      <c r="C731" s="39" t="n"/>
    </row>
    <row r="732">
      <c r="A732" s="37" t="n"/>
      <c r="C732" s="39" t="n"/>
    </row>
    <row r="733">
      <c r="A733" s="37" t="n"/>
      <c r="C733" s="39" t="n"/>
    </row>
    <row r="734">
      <c r="A734" s="37" t="n"/>
      <c r="C734" s="39" t="n"/>
    </row>
    <row r="735">
      <c r="A735" s="37" t="n"/>
      <c r="C735" s="39" t="n"/>
    </row>
    <row r="736">
      <c r="A736" s="37" t="n"/>
      <c r="C736" s="39" t="n"/>
    </row>
    <row r="737">
      <c r="A737" s="37" t="n"/>
      <c r="C737" s="39" t="n"/>
    </row>
    <row r="738">
      <c r="A738" s="37" t="n"/>
      <c r="C738" s="39" t="n"/>
    </row>
    <row r="739">
      <c r="A739" s="37" t="n"/>
      <c r="C739" s="39" t="n"/>
    </row>
    <row r="740">
      <c r="A740" s="37" t="n"/>
      <c r="C740" s="39" t="n"/>
    </row>
    <row r="741">
      <c r="A741" s="37" t="n"/>
      <c r="C741" s="39" t="n"/>
    </row>
    <row r="742">
      <c r="A742" s="37" t="n"/>
      <c r="C742" s="39" t="n"/>
    </row>
    <row r="743">
      <c r="A743" s="37" t="n"/>
      <c r="C743" s="39" t="n"/>
    </row>
    <row r="744">
      <c r="A744" s="37" t="n"/>
      <c r="C744" s="39" t="n"/>
    </row>
    <row r="745">
      <c r="A745" s="37" t="n"/>
      <c r="C745" s="39" t="n"/>
    </row>
    <row r="746">
      <c r="A746" s="37" t="n"/>
      <c r="C746" s="39" t="n"/>
    </row>
    <row r="747">
      <c r="A747" s="37" t="n"/>
      <c r="C747" s="39" t="n"/>
    </row>
    <row r="748">
      <c r="A748" s="37" t="n"/>
      <c r="C748" s="39" t="n"/>
    </row>
    <row r="749">
      <c r="A749" s="37" t="n"/>
      <c r="C749" s="39" t="n"/>
    </row>
    <row r="750">
      <c r="A750" s="37" t="n"/>
      <c r="C750" s="39" t="n"/>
    </row>
    <row r="751">
      <c r="A751" s="37" t="n"/>
      <c r="C751" s="39" t="n"/>
    </row>
    <row r="752">
      <c r="A752" s="37" t="n"/>
      <c r="C752" s="39" t="n"/>
    </row>
    <row r="753">
      <c r="A753" s="37" t="n"/>
      <c r="C753" s="39" t="n"/>
    </row>
    <row r="754">
      <c r="A754" s="37" t="n"/>
      <c r="C754" s="39" t="n"/>
    </row>
    <row r="755">
      <c r="A755" s="37" t="n"/>
      <c r="C755" s="39" t="n"/>
    </row>
    <row r="756">
      <c r="A756" s="37" t="n"/>
      <c r="C756" s="39" t="n"/>
    </row>
    <row r="757">
      <c r="A757" s="37" t="n"/>
      <c r="C757" s="39" t="n"/>
    </row>
    <row r="758">
      <c r="A758" s="37" t="n"/>
      <c r="C758" s="39" t="n"/>
    </row>
    <row r="759">
      <c r="A759" s="37" t="n"/>
      <c r="C759" s="39" t="n"/>
    </row>
    <row r="760">
      <c r="A760" s="37" t="n"/>
      <c r="C760" s="39" t="n"/>
    </row>
    <row r="761">
      <c r="A761" s="37" t="n"/>
      <c r="C761" s="39" t="n"/>
    </row>
    <row r="762">
      <c r="A762" s="37" t="n"/>
      <c r="C762" s="39" t="n"/>
    </row>
    <row r="763">
      <c r="A763" s="37" t="n"/>
      <c r="C763" s="39" t="n"/>
    </row>
    <row r="764">
      <c r="A764" s="37" t="n"/>
      <c r="C764" s="39" t="n"/>
    </row>
    <row r="765">
      <c r="A765" s="37" t="n"/>
      <c r="C765" s="39" t="n"/>
    </row>
    <row r="766">
      <c r="A766" s="37" t="n"/>
      <c r="C766" s="39" t="n"/>
    </row>
    <row r="767">
      <c r="A767" s="37" t="n"/>
      <c r="C767" s="39" t="n"/>
    </row>
    <row r="768">
      <c r="A768" s="37" t="n"/>
      <c r="C768" s="39" t="n"/>
    </row>
    <row r="769">
      <c r="A769" s="37" t="n"/>
      <c r="C769" s="39" t="n"/>
    </row>
    <row r="770">
      <c r="A770" s="37" t="n"/>
      <c r="C770" s="39" t="n"/>
    </row>
    <row r="771">
      <c r="A771" s="37" t="n"/>
      <c r="C771" s="39" t="n"/>
    </row>
    <row r="772">
      <c r="A772" s="37" t="n"/>
      <c r="C772" s="39" t="n"/>
    </row>
    <row r="773">
      <c r="A773" s="37" t="n"/>
      <c r="C773" s="39" t="n"/>
    </row>
    <row r="774">
      <c r="A774" s="37" t="n"/>
      <c r="C774" s="39" t="n"/>
    </row>
    <row r="775">
      <c r="A775" s="37" t="n"/>
      <c r="C775" s="39" t="n"/>
    </row>
    <row r="776">
      <c r="A776" s="37" t="n"/>
      <c r="C776" s="39" t="n"/>
    </row>
    <row r="777">
      <c r="A777" s="37" t="n"/>
      <c r="C777" s="39" t="n"/>
    </row>
    <row r="778">
      <c r="A778" s="37" t="n"/>
      <c r="C778" s="39" t="n"/>
    </row>
    <row r="779">
      <c r="A779" s="37" t="n"/>
      <c r="C779" s="39" t="n"/>
    </row>
    <row r="780">
      <c r="A780" s="37" t="n"/>
      <c r="C780" s="39" t="n"/>
    </row>
    <row r="781">
      <c r="A781" s="37" t="n"/>
      <c r="C781" s="39" t="n"/>
    </row>
    <row r="782">
      <c r="A782" s="37" t="n"/>
      <c r="C782" s="39" t="n"/>
    </row>
    <row r="783">
      <c r="A783" s="37" t="n"/>
      <c r="C783" s="39" t="n"/>
    </row>
    <row r="784">
      <c r="A784" s="37" t="n"/>
      <c r="C784" s="39" t="n"/>
    </row>
    <row r="785">
      <c r="A785" s="37" t="n"/>
      <c r="C785" s="39" t="n"/>
    </row>
    <row r="786">
      <c r="A786" s="37" t="n"/>
      <c r="C786" s="39" t="n"/>
    </row>
    <row r="787">
      <c r="A787" s="37" t="n"/>
      <c r="C787" s="39" t="n"/>
    </row>
    <row r="788">
      <c r="A788" s="37" t="n"/>
      <c r="C788" s="39" t="n"/>
    </row>
    <row r="789">
      <c r="A789" s="37" t="n"/>
      <c r="C789" s="39" t="n"/>
    </row>
    <row r="790">
      <c r="A790" s="37" t="n"/>
      <c r="C790" s="39" t="n"/>
    </row>
    <row r="791">
      <c r="A791" s="37" t="n"/>
      <c r="C791" s="39" t="n"/>
    </row>
    <row r="792">
      <c r="A792" s="37" t="n"/>
      <c r="C792" s="39" t="n"/>
    </row>
    <row r="793">
      <c r="A793" s="37" t="n"/>
      <c r="C793" s="39" t="n"/>
    </row>
    <row r="794">
      <c r="A794" s="37" t="n"/>
      <c r="C794" s="39" t="n"/>
    </row>
    <row r="795">
      <c r="A795" s="37" t="n"/>
      <c r="C795" s="39" t="n"/>
    </row>
    <row r="796">
      <c r="A796" s="37" t="n"/>
      <c r="C796" s="39" t="n"/>
    </row>
    <row r="797">
      <c r="A797" s="37" t="n"/>
      <c r="C797" s="39" t="n"/>
    </row>
    <row r="798">
      <c r="A798" s="37" t="n"/>
      <c r="C798" s="39" t="n"/>
    </row>
    <row r="799">
      <c r="A799" s="37" t="n"/>
      <c r="C799" s="39" t="n"/>
    </row>
    <row r="800">
      <c r="A800" s="37" t="n"/>
      <c r="C800" s="39" t="n"/>
    </row>
    <row r="801">
      <c r="A801" s="37" t="n"/>
      <c r="C801" s="39" t="n"/>
    </row>
    <row r="802">
      <c r="A802" s="37" t="n"/>
      <c r="C802" s="39" t="n"/>
    </row>
    <row r="803">
      <c r="A803" s="37" t="n"/>
      <c r="C803" s="39" t="n"/>
    </row>
    <row r="804">
      <c r="A804" s="37" t="n"/>
      <c r="C804" s="39" t="n"/>
    </row>
    <row r="805">
      <c r="A805" s="37" t="n"/>
      <c r="C805" s="39" t="n"/>
    </row>
    <row r="806">
      <c r="A806" s="37" t="n"/>
      <c r="C806" s="39" t="n"/>
    </row>
    <row r="807">
      <c r="A807" s="37" t="n"/>
      <c r="C807" s="39" t="n"/>
    </row>
    <row r="808">
      <c r="A808" s="37" t="n"/>
      <c r="C808" s="39" t="n"/>
    </row>
    <row r="809">
      <c r="A809" s="37" t="n"/>
      <c r="C809" s="39" t="n"/>
    </row>
    <row r="810">
      <c r="A810" s="37" t="n"/>
      <c r="C810" s="39" t="n"/>
    </row>
    <row r="811">
      <c r="A811" s="37" t="n"/>
      <c r="C811" s="39" t="n"/>
    </row>
    <row r="812">
      <c r="A812" s="37" t="n"/>
      <c r="C812" s="39" t="n"/>
    </row>
    <row r="813">
      <c r="A813" s="37" t="n"/>
      <c r="C813" s="39" t="n"/>
    </row>
    <row r="814">
      <c r="A814" s="37" t="n"/>
      <c r="C814" s="39" t="n"/>
    </row>
    <row r="815">
      <c r="A815" s="37" t="n"/>
      <c r="C815" s="39" t="n"/>
    </row>
    <row r="816">
      <c r="A816" s="37" t="n"/>
      <c r="C816" s="39" t="n"/>
    </row>
    <row r="817">
      <c r="A817" s="37" t="n"/>
      <c r="C817" s="39" t="n"/>
    </row>
    <row r="818">
      <c r="A818" s="37" t="n"/>
      <c r="C818" s="39" t="n"/>
    </row>
    <row r="819">
      <c r="A819" s="37" t="n"/>
      <c r="C819" s="39" t="n"/>
    </row>
    <row r="820">
      <c r="A820" s="37" t="n"/>
      <c r="C820" s="39" t="n"/>
    </row>
    <row r="821">
      <c r="A821" s="37" t="n"/>
      <c r="C821" s="39" t="n"/>
    </row>
    <row r="822">
      <c r="A822" s="37" t="n"/>
      <c r="C822" s="39" t="n"/>
    </row>
    <row r="823">
      <c r="A823" s="37" t="n"/>
      <c r="C823" s="39" t="n"/>
    </row>
    <row r="824">
      <c r="A824" s="37" t="n"/>
      <c r="C824" s="39" t="n"/>
    </row>
    <row r="825">
      <c r="A825" s="37" t="n"/>
      <c r="C825" s="39" t="n"/>
    </row>
    <row r="826">
      <c r="A826" s="37" t="n"/>
      <c r="C826" s="39" t="n"/>
    </row>
    <row r="827">
      <c r="A827" s="37" t="n"/>
      <c r="C827" s="39" t="n"/>
    </row>
    <row r="828">
      <c r="A828" s="37" t="n"/>
      <c r="C828" s="39" t="n"/>
    </row>
    <row r="829">
      <c r="A829" s="37" t="n"/>
      <c r="C829" s="39" t="n"/>
    </row>
    <row r="830">
      <c r="A830" s="37" t="n"/>
      <c r="C830" s="39" t="n"/>
    </row>
    <row r="831">
      <c r="A831" s="37" t="n"/>
      <c r="C831" s="39" t="n"/>
    </row>
    <row r="832">
      <c r="A832" s="37" t="n"/>
      <c r="C832" s="39" t="n"/>
    </row>
    <row r="833">
      <c r="A833" s="37" t="n"/>
      <c r="C833" s="39" t="n"/>
    </row>
    <row r="834">
      <c r="A834" s="37" t="n"/>
      <c r="C834" s="39" t="n"/>
    </row>
    <row r="835">
      <c r="A835" s="37" t="n"/>
      <c r="C835" s="39" t="n"/>
    </row>
    <row r="836">
      <c r="A836" s="37" t="n"/>
      <c r="C836" s="39" t="n"/>
    </row>
    <row r="837">
      <c r="A837" s="37" t="n"/>
      <c r="C837" s="39" t="n"/>
    </row>
    <row r="838">
      <c r="A838" s="37" t="n"/>
      <c r="C838" s="39" t="n"/>
    </row>
    <row r="839">
      <c r="A839" s="37" t="n"/>
      <c r="C839" s="39" t="n"/>
    </row>
    <row r="840">
      <c r="A840" s="37" t="n"/>
      <c r="C840" s="39" t="n"/>
    </row>
    <row r="841">
      <c r="A841" s="37" t="n"/>
      <c r="C841" s="39" t="n"/>
    </row>
    <row r="842">
      <c r="A842" s="37" t="n"/>
      <c r="C842" s="39" t="n"/>
    </row>
    <row r="843">
      <c r="A843" s="37" t="n"/>
      <c r="C843" s="39" t="n"/>
    </row>
    <row r="844">
      <c r="A844" s="37" t="n"/>
      <c r="C844" s="39" t="n"/>
    </row>
    <row r="845">
      <c r="A845" s="37" t="n"/>
      <c r="C845" s="39" t="n"/>
    </row>
    <row r="846">
      <c r="A846" s="37" t="n"/>
      <c r="C846" s="39" t="n"/>
    </row>
    <row r="847">
      <c r="A847" s="37" t="n"/>
      <c r="C847" s="39" t="n"/>
    </row>
    <row r="848">
      <c r="A848" s="37" t="n"/>
      <c r="C848" s="39" t="n"/>
    </row>
    <row r="849">
      <c r="A849" s="37" t="n"/>
      <c r="C849" s="39" t="n"/>
    </row>
    <row r="850">
      <c r="A850" s="37" t="n"/>
      <c r="C850" s="39" t="n"/>
    </row>
    <row r="851">
      <c r="A851" s="37" t="n"/>
      <c r="C851" s="39" t="n"/>
    </row>
    <row r="852">
      <c r="A852" s="37" t="n"/>
      <c r="C852" s="39" t="n"/>
    </row>
    <row r="853">
      <c r="A853" s="37" t="n"/>
      <c r="C853" s="39" t="n"/>
    </row>
    <row r="854">
      <c r="A854" s="37" t="n"/>
      <c r="C854" s="39" t="n"/>
    </row>
    <row r="855">
      <c r="A855" s="37" t="n"/>
      <c r="C855" s="39" t="n"/>
    </row>
    <row r="856">
      <c r="A856" s="37" t="n"/>
      <c r="C856" s="39" t="n"/>
    </row>
    <row r="857">
      <c r="A857" s="37" t="n"/>
      <c r="C857" s="39" t="n"/>
    </row>
    <row r="858">
      <c r="A858" s="37" t="n"/>
      <c r="C858" s="39" t="n"/>
    </row>
    <row r="859">
      <c r="A859" s="37" t="n"/>
      <c r="C859" s="39" t="n"/>
    </row>
    <row r="860">
      <c r="A860" s="37" t="n"/>
      <c r="C860" s="39" t="n"/>
    </row>
    <row r="861">
      <c r="A861" s="37" t="n"/>
      <c r="C861" s="39" t="n"/>
    </row>
    <row r="862">
      <c r="A862" s="37" t="n"/>
      <c r="C862" s="39" t="n"/>
    </row>
    <row r="863">
      <c r="A863" s="37" t="n"/>
      <c r="C863" s="39" t="n"/>
    </row>
    <row r="864">
      <c r="A864" s="37" t="n"/>
      <c r="C864" s="39" t="n"/>
    </row>
    <row r="865">
      <c r="A865" s="37" t="n"/>
      <c r="C865" s="39" t="n"/>
    </row>
    <row r="866">
      <c r="A866" s="37" t="n"/>
      <c r="C866" s="39" t="n"/>
    </row>
    <row r="867">
      <c r="A867" s="37" t="n"/>
      <c r="C867" s="39" t="n"/>
    </row>
    <row r="868">
      <c r="A868" s="37" t="n"/>
      <c r="C868" s="39" t="n"/>
    </row>
    <row r="869">
      <c r="A869" s="37" t="n"/>
      <c r="C869" s="39" t="n"/>
    </row>
    <row r="870">
      <c r="A870" s="37" t="n"/>
      <c r="C870" s="39" t="n"/>
    </row>
    <row r="871">
      <c r="A871" s="37" t="n"/>
      <c r="C871" s="39" t="n"/>
    </row>
    <row r="872">
      <c r="A872" s="37" t="n"/>
      <c r="C872" s="39" t="n"/>
    </row>
    <row r="873">
      <c r="A873" s="37" t="n"/>
      <c r="C873" s="39" t="n"/>
    </row>
    <row r="874">
      <c r="A874" s="37" t="n"/>
      <c r="C874" s="39" t="n"/>
    </row>
    <row r="875">
      <c r="A875" s="37" t="n"/>
      <c r="C875" s="39" t="n"/>
    </row>
    <row r="876">
      <c r="A876" s="37" t="n"/>
      <c r="C876" s="39" t="n"/>
    </row>
    <row r="877">
      <c r="A877" s="37" t="n"/>
      <c r="C877" s="39" t="n"/>
    </row>
    <row r="878">
      <c r="A878" s="37" t="n"/>
      <c r="C878" s="39" t="n"/>
    </row>
    <row r="879">
      <c r="A879" s="37" t="n"/>
      <c r="C879" s="39" t="n"/>
    </row>
    <row r="880">
      <c r="A880" s="37" t="n"/>
      <c r="C880" s="39" t="n"/>
    </row>
    <row r="881">
      <c r="A881" s="37" t="n"/>
      <c r="C881" s="39" t="n"/>
    </row>
    <row r="882">
      <c r="A882" s="37" t="n"/>
      <c r="C882" s="39" t="n"/>
    </row>
    <row r="883">
      <c r="A883" s="37" t="n"/>
      <c r="C883" s="39" t="n"/>
    </row>
    <row r="884">
      <c r="A884" s="37" t="n"/>
      <c r="C884" s="39" t="n"/>
    </row>
    <row r="885">
      <c r="A885" s="37" t="n"/>
      <c r="C885" s="39" t="n"/>
    </row>
    <row r="886">
      <c r="A886" s="37" t="n"/>
      <c r="C886" s="39" t="n"/>
    </row>
    <row r="887">
      <c r="A887" s="37" t="n"/>
      <c r="C887" s="39" t="n"/>
    </row>
    <row r="888">
      <c r="A888" s="37" t="n"/>
      <c r="C888" s="39" t="n"/>
    </row>
    <row r="889">
      <c r="A889" s="37" t="n"/>
      <c r="C889" s="39" t="n"/>
    </row>
    <row r="890">
      <c r="A890" s="37" t="n"/>
      <c r="C890" s="39" t="n"/>
    </row>
    <row r="891">
      <c r="A891" s="37" t="n"/>
      <c r="C891" s="39" t="n"/>
    </row>
    <row r="892">
      <c r="A892" s="37" t="n"/>
      <c r="C892" s="39" t="n"/>
    </row>
    <row r="893">
      <c r="A893" s="37" t="n"/>
      <c r="C893" s="39" t="n"/>
    </row>
    <row r="894">
      <c r="A894" s="37" t="n"/>
      <c r="C894" s="39" t="n"/>
    </row>
    <row r="895">
      <c r="A895" s="37" t="n"/>
      <c r="C895" s="39" t="n"/>
    </row>
    <row r="896">
      <c r="A896" s="37" t="n"/>
      <c r="C896" s="39" t="n"/>
    </row>
    <row r="897">
      <c r="A897" s="37" t="n"/>
      <c r="C897" s="39" t="n"/>
    </row>
    <row r="898">
      <c r="A898" s="37" t="n"/>
      <c r="C898" s="39" t="n"/>
    </row>
    <row r="899">
      <c r="A899" s="37" t="n"/>
      <c r="C899" s="39" t="n"/>
    </row>
    <row r="900">
      <c r="A900" s="37" t="n"/>
      <c r="C900" s="39" t="n"/>
    </row>
    <row r="901">
      <c r="A901" s="37" t="n"/>
      <c r="C901" s="39" t="n"/>
    </row>
    <row r="902">
      <c r="A902" s="37" t="n"/>
      <c r="C902" s="39" t="n"/>
    </row>
    <row r="903">
      <c r="A903" s="37" t="n"/>
      <c r="C903" s="39" t="n"/>
    </row>
    <row r="904">
      <c r="A904" s="37" t="n"/>
      <c r="C904" s="39" t="n"/>
    </row>
    <row r="905">
      <c r="A905" s="37" t="n"/>
      <c r="C905" s="39" t="n"/>
    </row>
    <row r="906">
      <c r="A906" s="37" t="n"/>
      <c r="C906" s="39" t="n"/>
    </row>
    <row r="907">
      <c r="A907" s="37" t="n"/>
      <c r="C907" s="39" t="n"/>
    </row>
    <row r="908">
      <c r="A908" s="37" t="n"/>
      <c r="C908" s="39" t="n"/>
    </row>
    <row r="909">
      <c r="A909" s="37" t="n"/>
      <c r="C909" s="39" t="n"/>
    </row>
    <row r="910">
      <c r="A910" s="37" t="n"/>
      <c r="C910" s="39" t="n"/>
    </row>
    <row r="911">
      <c r="A911" s="37" t="n"/>
      <c r="C911" s="39" t="n"/>
    </row>
    <row r="912">
      <c r="A912" s="37" t="n"/>
      <c r="C912" s="39" t="n"/>
    </row>
    <row r="913">
      <c r="A913" s="37" t="n"/>
      <c r="C913" s="39" t="n"/>
    </row>
    <row r="914">
      <c r="A914" s="37" t="n"/>
      <c r="C914" s="39" t="n"/>
    </row>
    <row r="915">
      <c r="A915" s="37" t="n"/>
      <c r="C915" s="39" t="n"/>
    </row>
    <row r="916">
      <c r="A916" s="37" t="n"/>
      <c r="C916" s="39" t="n"/>
    </row>
    <row r="917">
      <c r="A917" s="37" t="n"/>
      <c r="C917" s="39" t="n"/>
    </row>
    <row r="918">
      <c r="A918" s="37" t="n"/>
      <c r="C918" s="39" t="n"/>
    </row>
    <row r="919">
      <c r="A919" s="37" t="n"/>
      <c r="C919" s="39" t="n"/>
    </row>
    <row r="920">
      <c r="A920" s="37" t="n"/>
      <c r="C920" s="39" t="n"/>
    </row>
    <row r="921">
      <c r="A921" s="37" t="n"/>
      <c r="C921" s="39" t="n"/>
    </row>
    <row r="922">
      <c r="A922" s="37" t="n"/>
      <c r="C922" s="39" t="n"/>
    </row>
    <row r="923">
      <c r="A923" s="37" t="n"/>
      <c r="C923" s="39" t="n"/>
    </row>
    <row r="924">
      <c r="A924" s="37" t="n"/>
      <c r="C924" s="39" t="n"/>
    </row>
    <row r="925">
      <c r="A925" s="37" t="n"/>
      <c r="C925" s="39" t="n"/>
    </row>
    <row r="926">
      <c r="A926" s="37" t="n"/>
      <c r="C926" s="39" t="n"/>
    </row>
    <row r="927">
      <c r="A927" s="37" t="n"/>
      <c r="C927" s="39" t="n"/>
    </row>
    <row r="928">
      <c r="A928" s="37" t="n"/>
      <c r="C928" s="39" t="n"/>
    </row>
    <row r="929">
      <c r="A929" s="37" t="n"/>
      <c r="C929" s="39" t="n"/>
    </row>
    <row r="930">
      <c r="A930" s="37" t="n"/>
      <c r="C930" s="39" t="n"/>
    </row>
    <row r="931">
      <c r="A931" s="37" t="n"/>
      <c r="C931" s="39" t="n"/>
    </row>
    <row r="932">
      <c r="A932" s="37" t="n"/>
      <c r="C932" s="39" t="n"/>
    </row>
    <row r="933">
      <c r="A933" s="37" t="n"/>
      <c r="C933" s="39" t="n"/>
    </row>
    <row r="934">
      <c r="A934" s="37" t="n"/>
      <c r="C934" s="39" t="n"/>
    </row>
    <row r="935">
      <c r="A935" s="37" t="n"/>
      <c r="C935" s="39" t="n"/>
    </row>
    <row r="936">
      <c r="A936" s="37" t="n"/>
      <c r="C936" s="39" t="n"/>
    </row>
    <row r="937">
      <c r="A937" s="37" t="n"/>
      <c r="C937" s="39" t="n"/>
    </row>
    <row r="938">
      <c r="A938" s="37" t="n"/>
      <c r="C938" s="39" t="n"/>
    </row>
    <row r="939">
      <c r="A939" s="37" t="n"/>
      <c r="C939" s="39" t="n"/>
    </row>
    <row r="940">
      <c r="A940" s="37" t="n"/>
      <c r="C940" s="39" t="n"/>
    </row>
    <row r="941">
      <c r="A941" s="37" t="n"/>
      <c r="C941" s="39" t="n"/>
    </row>
    <row r="942">
      <c r="A942" s="37" t="n"/>
      <c r="C942" s="39" t="n"/>
    </row>
    <row r="943">
      <c r="A943" s="37" t="n"/>
      <c r="C943" s="39" t="n"/>
    </row>
    <row r="944">
      <c r="A944" s="37" t="n"/>
      <c r="C944" s="39" t="n"/>
    </row>
    <row r="945">
      <c r="A945" s="37" t="n"/>
      <c r="C945" s="39" t="n"/>
    </row>
    <row r="946">
      <c r="A946" s="37" t="n"/>
      <c r="C946" s="39" t="n"/>
    </row>
    <row r="947">
      <c r="A947" s="37" t="n"/>
      <c r="C947" s="39" t="n"/>
    </row>
    <row r="948">
      <c r="A948" s="37" t="n"/>
      <c r="C948" s="39" t="n"/>
    </row>
    <row r="949">
      <c r="A949" s="37" t="n"/>
      <c r="C949" s="39" t="n"/>
    </row>
    <row r="950">
      <c r="A950" s="37" t="n"/>
      <c r="C950" s="39" t="n"/>
    </row>
    <row r="951">
      <c r="A951" s="37" t="n"/>
      <c r="C951" s="39" t="n"/>
    </row>
    <row r="952">
      <c r="A952" s="37" t="n"/>
      <c r="C952" s="39" t="n"/>
    </row>
    <row r="953">
      <c r="A953" s="37" t="n"/>
      <c r="C953" s="39" t="n"/>
    </row>
    <row r="954">
      <c r="A954" s="37" t="n"/>
      <c r="C954" s="39" t="n"/>
    </row>
    <row r="955">
      <c r="A955" s="37" t="n"/>
      <c r="C955" s="39" t="n"/>
    </row>
    <row r="956">
      <c r="A956" s="37" t="n"/>
      <c r="C956" s="39" t="n"/>
    </row>
    <row r="957">
      <c r="A957" s="37" t="n"/>
      <c r="C957" s="39" t="n"/>
    </row>
    <row r="958">
      <c r="A958" s="37" t="n"/>
      <c r="C958" s="39" t="n"/>
    </row>
    <row r="959">
      <c r="A959" s="37" t="n"/>
      <c r="C959" s="39" t="n"/>
    </row>
    <row r="960">
      <c r="A960" s="37" t="n"/>
      <c r="C960" s="39" t="n"/>
    </row>
    <row r="961">
      <c r="A961" s="37" t="n"/>
      <c r="C961" s="39" t="n"/>
    </row>
    <row r="962">
      <c r="A962" s="37" t="n"/>
      <c r="C962" s="39" t="n"/>
    </row>
    <row r="963">
      <c r="A963" s="37" t="n"/>
      <c r="C963" s="39" t="n"/>
    </row>
    <row r="964">
      <c r="A964" s="37" t="n"/>
      <c r="C964" s="39" t="n"/>
    </row>
    <row r="965">
      <c r="A965" s="37" t="n"/>
      <c r="C965" s="39" t="n"/>
    </row>
    <row r="966">
      <c r="A966" s="37" t="n"/>
      <c r="C966" s="39" t="n"/>
    </row>
    <row r="967">
      <c r="A967" s="37" t="n"/>
      <c r="C967" s="39" t="n"/>
    </row>
    <row r="968">
      <c r="A968" s="37" t="n"/>
      <c r="C968" s="39" t="n"/>
    </row>
    <row r="969">
      <c r="A969" s="37" t="n"/>
      <c r="C969" s="39" t="n"/>
    </row>
    <row r="970">
      <c r="A970" s="37" t="n"/>
      <c r="C970" s="39" t="n"/>
    </row>
    <row r="971">
      <c r="A971" s="37" t="n"/>
      <c r="C971" s="39" t="n"/>
    </row>
    <row r="972">
      <c r="A972" s="37" t="n"/>
      <c r="C972" s="39" t="n"/>
    </row>
    <row r="973">
      <c r="A973" s="37" t="n"/>
      <c r="C973" s="39" t="n"/>
    </row>
    <row r="974">
      <c r="A974" s="37" t="n"/>
      <c r="C974" s="39" t="n"/>
    </row>
    <row r="975">
      <c r="A975" s="37" t="n"/>
      <c r="C975" s="39" t="n"/>
    </row>
    <row r="976">
      <c r="A976" s="37" t="n"/>
      <c r="C976" s="39" t="n"/>
    </row>
    <row r="977">
      <c r="A977" s="37" t="n"/>
      <c r="C977" s="39" t="n"/>
    </row>
    <row r="978">
      <c r="A978" s="37" t="n"/>
      <c r="C978" s="39" t="n"/>
    </row>
    <row r="979">
      <c r="A979" s="37" t="n"/>
      <c r="C979" s="39" t="n"/>
    </row>
    <row r="980">
      <c r="A980" s="37" t="n"/>
      <c r="C980" s="39" t="n"/>
    </row>
    <row r="981">
      <c r="A981" s="37" t="n"/>
      <c r="C981" s="39" t="n"/>
    </row>
    <row r="982">
      <c r="A982" s="37" t="n"/>
      <c r="C982" s="39" t="n"/>
    </row>
    <row r="983">
      <c r="A983" s="37" t="n"/>
      <c r="C983" s="39" t="n"/>
    </row>
    <row r="984">
      <c r="A984" s="37" t="n"/>
      <c r="C984" s="39" t="n"/>
    </row>
    <row r="985">
      <c r="A985" s="37" t="n"/>
      <c r="C985" s="39" t="n"/>
    </row>
    <row r="986">
      <c r="A986" s="37" t="n"/>
      <c r="C986" s="39" t="n"/>
    </row>
    <row r="987">
      <c r="A987" s="37" t="n"/>
      <c r="C987" s="39" t="n"/>
    </row>
    <row r="988">
      <c r="A988" s="37" t="n"/>
      <c r="C988" s="39" t="n"/>
    </row>
    <row r="989">
      <c r="A989" s="37" t="n"/>
      <c r="C989" s="39" t="n"/>
    </row>
    <row r="990">
      <c r="A990" s="37" t="n"/>
      <c r="C990" s="39" t="n"/>
    </row>
    <row r="991">
      <c r="A991" s="37" t="n"/>
      <c r="C991" s="39" t="n"/>
    </row>
    <row r="992">
      <c r="A992" s="37" t="n"/>
      <c r="C992" s="39" t="n"/>
    </row>
    <row r="993">
      <c r="A993" s="37" t="n"/>
      <c r="C993" s="39" t="n"/>
    </row>
    <row r="994">
      <c r="A994" s="37" t="n"/>
      <c r="C994" s="39" t="n"/>
    </row>
    <row r="995">
      <c r="A995" s="37" t="n"/>
      <c r="C995" s="39" t="n"/>
    </row>
    <row r="996">
      <c r="A996" s="37" t="n"/>
      <c r="C996" s="39" t="n"/>
    </row>
    <row r="997">
      <c r="A997" s="37" t="n"/>
      <c r="C997" s="39" t="n"/>
    </row>
    <row r="998">
      <c r="A998" s="37" t="n"/>
      <c r="C998" s="39" t="n"/>
    </row>
    <row r="999">
      <c r="A999" s="37" t="n"/>
      <c r="C999" s="39" t="n"/>
    </row>
    <row r="1000">
      <c r="A1000" s="37" t="n"/>
      <c r="C1000" s="39" t="n"/>
    </row>
    <row r="1001">
      <c r="A1001" s="37" t="n"/>
      <c r="C1001" s="39" t="n"/>
    </row>
    <row r="1002">
      <c r="A1002" s="37" t="n"/>
      <c r="C1002" s="39" t="n"/>
    </row>
    <row r="1003">
      <c r="A1003" s="37" t="n"/>
      <c r="C1003" s="39" t="n"/>
    </row>
    <row r="1004">
      <c r="A1004" s="37" t="n"/>
      <c r="C1004" s="3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52" customWidth="1" min="3" max="3"/>
  </cols>
  <sheetData>
    <row r="1">
      <c r="A1" s="33" t="inlineStr">
        <is>
          <t>Categorization Rules</t>
        </is>
      </c>
    </row>
    <row r="2">
      <c r="A2" s="12" t="inlineStr">
        <is>
          <t>First matching rule wins (top to bottom). Pattern is a regex tested against the Description (case-insensitive).</t>
        </is>
      </c>
    </row>
    <row r="3">
      <c r="A3" s="12" t="inlineStr">
        <is>
          <t>Category tokens:  __INCOME__:&lt;line&gt;   __FIXED__:&lt;line&gt;   __TRANSFER__ (ignore)   __MANUAL__ (ignore — you enter it)   or a variable category name.</t>
        </is>
      </c>
    </row>
    <row r="4">
      <c r="A4" s="9" t="inlineStr">
        <is>
          <t>Pattern (regex)</t>
        </is>
      </c>
      <c r="B4" s="9" t="inlineStr">
        <is>
          <t>Category token</t>
        </is>
      </c>
      <c r="C4" s="9" t="inlineStr">
        <is>
          <t>Notes</t>
        </is>
      </c>
    </row>
    <row r="5">
      <c r="A5" t="inlineStr">
        <is>
          <t>PAYROLL|DIRECT DEP</t>
        </is>
      </c>
      <c r="B5" t="inlineStr">
        <is>
          <t>__INCOME__:Salary / Wages — 1</t>
        </is>
      </c>
      <c r="C5" t="inlineStr">
        <is>
          <t>Map your paychecks to an income line</t>
        </is>
      </c>
    </row>
    <row r="6">
      <c r="A6" t="inlineStr">
        <is>
          <t>INTEREST</t>
        </is>
      </c>
      <c r="B6" t="inlineStr">
        <is>
          <t>__INCOME__:Interest / Dividends</t>
        </is>
      </c>
      <c r="C6" t="inlineStr"/>
    </row>
    <row r="7">
      <c r="A7" t="inlineStr">
        <is>
          <t>MORTGAGE|RENT</t>
        </is>
      </c>
      <c r="B7" t="inlineStr">
        <is>
          <t>__FIXED__:Housing (rent / mortgage)</t>
        </is>
      </c>
      <c r="C7" t="inlineStr"/>
    </row>
    <row r="8">
      <c r="A8" t="inlineStr">
        <is>
          <t>TOYOTA|HONDA|AUTO LOAN</t>
        </is>
      </c>
      <c r="B8" t="inlineStr">
        <is>
          <t>__FIXED__:Transportation / Auto</t>
        </is>
      </c>
      <c r="C8" t="inlineStr"/>
    </row>
    <row r="9">
      <c r="A9" t="inlineStr">
        <is>
          <t>INSUR</t>
        </is>
      </c>
      <c r="B9" t="inlineStr">
        <is>
          <t>__FIXED__:Insurance</t>
        </is>
      </c>
      <c r="C9" t="inlineStr"/>
    </row>
    <row r="10">
      <c r="A10" t="inlineStr">
        <is>
          <t>VERIZON|T-MOBILE|COMCAST</t>
        </is>
      </c>
      <c r="B10" t="inlineStr">
        <is>
          <t>__FIXED__:Phone / Internet</t>
        </is>
      </c>
      <c r="C10" t="inlineStr"/>
    </row>
    <row r="11">
      <c r="A11" t="inlineStr">
        <is>
          <t>ELECTRIC|GAS CO|WATER</t>
        </is>
      </c>
      <c r="B11" t="inlineStr">
        <is>
          <t>__MANUAL__</t>
        </is>
      </c>
      <c r="C11" t="inlineStr">
        <is>
          <t>Utilities are entered manually — ignored on import</t>
        </is>
      </c>
    </row>
    <row r="12">
      <c r="A12" t="inlineStr">
        <is>
          <t>TRANSFER|XFER|SAVINGS</t>
        </is>
      </c>
      <c r="B12" t="inlineStr">
        <is>
          <t>__TRANSFER__</t>
        </is>
      </c>
      <c r="C12" t="inlineStr">
        <is>
          <t>Moves between your own accounts — ignored</t>
        </is>
      </c>
    </row>
    <row r="13">
      <c r="A13" t="inlineStr">
        <is>
          <t>WHOLE FOODS|SAFEWAY|KROGER</t>
        </is>
      </c>
      <c r="B13" t="inlineStr">
        <is>
          <t>Groceries</t>
        </is>
      </c>
      <c r="C13" t="inlineStr"/>
    </row>
    <row r="14">
      <c r="A14" t="inlineStr">
        <is>
          <t>AMAZON|AMZN</t>
        </is>
      </c>
      <c r="B14" t="inlineStr">
        <is>
          <t>Shopping (Amazon/misc)</t>
        </is>
      </c>
      <c r="C14" t="inlineStr">
        <is>
          <t>Reconcile in the Amazon tab</t>
        </is>
      </c>
    </row>
    <row r="15">
      <c r="A15" t="inlineStr">
        <is>
          <t>STARBUCKS|RESTAURANT|DOORDASH</t>
        </is>
      </c>
      <c r="B15" t="inlineStr">
        <is>
          <t>Dining out</t>
        </is>
      </c>
      <c r="C15" t="inlineStr"/>
    </row>
    <row r="16">
      <c r="A16" t="inlineStr">
        <is>
          <t>SHELL|EXXON|CHEVRON</t>
        </is>
      </c>
      <c r="B16" t="inlineStr">
        <is>
          <t>Fuel / Transport</t>
        </is>
      </c>
      <c r="C16" t="inlineStr"/>
    </row>
    <row r="17">
      <c r="A17" t="inlineStr">
        <is>
          <t>NETFLIX|SPOTIFY|HULU</t>
        </is>
      </c>
      <c r="B17" t="inlineStr">
        <is>
          <t>Subscriptions</t>
        </is>
      </c>
      <c r="C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Charts — run '📊 FIRE Tracker → Generate / Refresh Charts'</t>
        </is>
      </c>
    </row>
    <row r="3">
      <c r="A3" s="8" t="inlineStr">
        <is>
          <t>Charts are created by the Apps Script (FIRE_Template.gs). Paste the script, then use the menu to generate them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2026-09-28T20:41:43Z</dcterms:created>
  <dcterms:modified xsi:type="dcterms:W3CDTF">2026-09-28T20:41:43Z</dcterms:modified>
</cp:coreProperties>
</file>