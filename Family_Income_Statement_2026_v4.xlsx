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athworks-my.sharepoint.com/personal/mnaughto_mathworks_com/Documents/Projects/Personal Development/Expenses/"/>
    </mc:Choice>
  </mc:AlternateContent>
  <xr:revisionPtr revIDLastSave="0" documentId="8_{E12AC4EE-5260-4CBE-A797-C671B7439F1F}" xr6:coauthVersionLast="47" xr6:coauthVersionMax="47" xr10:uidLastSave="{00000000-0000-0000-0000-000000000000}"/>
  <bookViews>
    <workbookView xWindow="1560" yWindow="1560" windowWidth="28800" windowHeight="11295" xr2:uid="{00000000-000D-0000-FFFF-FFFF00000000}"/>
  </bookViews>
  <sheets>
    <sheet name="README" sheetId="1" r:id="rId1"/>
    <sheet name="Income Statement" sheetId="2" r:id="rId2"/>
    <sheet name="CC Detail" sheetId="3" r:id="rId3"/>
    <sheet name="Solar ROI" sheetId="4" r:id="rId4"/>
    <sheet name="Balances" sheetId="5" r:id="rId5"/>
    <sheet name="Comp &amp; Benefits" sheetId="6" r:id="rId6"/>
    <sheet name="Scenarios" sheetId="7" r:id="rId7"/>
    <sheet name="Charts" sheetId="8" r:id="rId8"/>
    <sheet name="Imports - Checking" sheetId="9" r:id="rId9"/>
    <sheet name="Imports - Savings" sheetId="10" r:id="rId10"/>
    <sheet name="Imports - Barclay" sheetId="11" r:id="rId11"/>
    <sheet name="Rule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7" l="1"/>
  <c r="F22" i="7"/>
  <c r="E22" i="7"/>
  <c r="D22" i="7"/>
  <c r="C22" i="7"/>
  <c r="C21" i="7"/>
  <c r="C23" i="7" s="1"/>
  <c r="F20" i="7"/>
  <c r="E20" i="7"/>
  <c r="D20" i="7"/>
  <c r="C20" i="7"/>
  <c r="F19" i="7"/>
  <c r="E19" i="7"/>
  <c r="D19" i="7"/>
  <c r="C19" i="7"/>
  <c r="F18" i="7"/>
  <c r="E18" i="7"/>
  <c r="D18" i="7"/>
  <c r="C18" i="7"/>
  <c r="F14" i="7"/>
  <c r="F13" i="7"/>
  <c r="F12" i="7"/>
  <c r="F21" i="7" s="1"/>
  <c r="F23" i="7" s="1"/>
  <c r="E26" i="6"/>
  <c r="C26" i="6"/>
  <c r="E13" i="6"/>
  <c r="E12" i="6"/>
  <c r="E11" i="6"/>
  <c r="M17" i="5"/>
  <c r="L17" i="5"/>
  <c r="M18" i="5" s="1"/>
  <c r="K17" i="5"/>
  <c r="L18" i="5" s="1"/>
  <c r="J17" i="5"/>
  <c r="K18" i="5" s="1"/>
  <c r="I17" i="5"/>
  <c r="J18" i="5" s="1"/>
  <c r="H17" i="5"/>
  <c r="I18" i="5" s="1"/>
  <c r="G17" i="5"/>
  <c r="H18" i="5" s="1"/>
  <c r="F17" i="5"/>
  <c r="G18" i="5" s="1"/>
  <c r="E17" i="5"/>
  <c r="F18" i="5" s="1"/>
  <c r="D17" i="5"/>
  <c r="E18" i="5" s="1"/>
  <c r="C17" i="5"/>
  <c r="D18" i="5" s="1"/>
  <c r="B17" i="5"/>
  <c r="C18" i="5" s="1"/>
  <c r="M11" i="4"/>
  <c r="L11" i="4"/>
  <c r="K11" i="4"/>
  <c r="J11" i="4"/>
  <c r="I11" i="4"/>
  <c r="H11" i="4"/>
  <c r="G11" i="4"/>
  <c r="F11" i="4"/>
  <c r="E11" i="4"/>
  <c r="D11" i="4"/>
  <c r="B16" i="4" s="1"/>
  <c r="B17" i="4" s="1"/>
  <c r="C11" i="4"/>
  <c r="B11" i="4"/>
  <c r="B12" i="4" s="1"/>
  <c r="C12" i="4" s="1"/>
  <c r="D12" i="4" s="1"/>
  <c r="E12" i="4" s="1"/>
  <c r="F12" i="4" s="1"/>
  <c r="G12" i="4" s="1"/>
  <c r="H12" i="4" s="1"/>
  <c r="I12" i="4" s="1"/>
  <c r="J12" i="4" s="1"/>
  <c r="K12" i="4" s="1"/>
  <c r="L12" i="4" s="1"/>
  <c r="M12" i="4" s="1"/>
  <c r="N10" i="4"/>
  <c r="N9" i="4"/>
  <c r="N6" i="4"/>
  <c r="N5" i="4"/>
  <c r="N7" i="4" s="1"/>
  <c r="B15" i="4" s="1"/>
  <c r="M21" i="3"/>
  <c r="J21" i="3"/>
  <c r="I21" i="3"/>
  <c r="H21" i="3"/>
  <c r="G21" i="3"/>
  <c r="F21" i="3"/>
  <c r="B21" i="3"/>
  <c r="N20" i="3"/>
  <c r="M18" i="3"/>
  <c r="L18" i="3"/>
  <c r="L21" i="3" s="1"/>
  <c r="K18" i="3"/>
  <c r="K21" i="3" s="1"/>
  <c r="J18" i="3"/>
  <c r="I18" i="3"/>
  <c r="H18" i="3"/>
  <c r="G18" i="3"/>
  <c r="F18" i="3"/>
  <c r="E18" i="3"/>
  <c r="E21" i="3" s="1"/>
  <c r="D18" i="3"/>
  <c r="D21" i="3" s="1"/>
  <c r="C18" i="3"/>
  <c r="C21" i="3" s="1"/>
  <c r="B18" i="3"/>
  <c r="N17" i="3"/>
  <c r="N16" i="3"/>
  <c r="N15" i="3"/>
  <c r="N14" i="3"/>
  <c r="N13" i="3"/>
  <c r="N12" i="3"/>
  <c r="N11" i="3"/>
  <c r="N10" i="3"/>
  <c r="N9" i="3"/>
  <c r="N8" i="3"/>
  <c r="N7" i="3"/>
  <c r="N6" i="3"/>
  <c r="N18" i="3" s="1"/>
  <c r="N21" i="3" s="1"/>
  <c r="N5" i="3"/>
  <c r="M59" i="2"/>
  <c r="H59" i="2"/>
  <c r="G59" i="2"/>
  <c r="F59" i="2"/>
  <c r="D59" i="2"/>
  <c r="C59" i="2"/>
  <c r="B59" i="2"/>
  <c r="O58" i="2"/>
  <c r="N58" i="2"/>
  <c r="O57" i="2"/>
  <c r="N57" i="2"/>
  <c r="O56" i="2"/>
  <c r="N56" i="2"/>
  <c r="M55" i="2"/>
  <c r="L55" i="2"/>
  <c r="L59" i="2" s="1"/>
  <c r="K55" i="2"/>
  <c r="K59" i="2" s="1"/>
  <c r="J55" i="2"/>
  <c r="J59" i="2" s="1"/>
  <c r="I55" i="2"/>
  <c r="I59" i="2" s="1"/>
  <c r="H55" i="2"/>
  <c r="G55" i="2"/>
  <c r="F55" i="2"/>
  <c r="E55" i="2"/>
  <c r="E59" i="2" s="1"/>
  <c r="D55" i="2"/>
  <c r="C55" i="2"/>
  <c r="B55" i="2"/>
  <c r="N55" i="2" s="1"/>
  <c r="M51" i="2"/>
  <c r="L51" i="2"/>
  <c r="K51" i="2"/>
  <c r="J51" i="2"/>
  <c r="I51" i="2"/>
  <c r="H51" i="2"/>
  <c r="G51" i="2"/>
  <c r="F51" i="2"/>
  <c r="E51" i="2"/>
  <c r="D51" i="2"/>
  <c r="C51" i="2"/>
  <c r="O51" i="2" s="1"/>
  <c r="B51" i="2"/>
  <c r="N51" i="2" s="1"/>
  <c r="M50" i="2"/>
  <c r="L50" i="2"/>
  <c r="K50" i="2"/>
  <c r="J50" i="2"/>
  <c r="I50" i="2"/>
  <c r="H50" i="2"/>
  <c r="G50" i="2"/>
  <c r="F50" i="2"/>
  <c r="E50" i="2"/>
  <c r="D50" i="2"/>
  <c r="C50" i="2"/>
  <c r="O50" i="2" s="1"/>
  <c r="B50" i="2"/>
  <c r="N50" i="2" s="1"/>
  <c r="M49" i="2"/>
  <c r="L49" i="2"/>
  <c r="K49" i="2"/>
  <c r="J49" i="2"/>
  <c r="I49" i="2"/>
  <c r="H49" i="2"/>
  <c r="G49" i="2"/>
  <c r="F49" i="2"/>
  <c r="E49" i="2"/>
  <c r="D49" i="2"/>
  <c r="C49" i="2"/>
  <c r="O49" i="2" s="1"/>
  <c r="B49" i="2"/>
  <c r="N49" i="2" s="1"/>
  <c r="M48" i="2"/>
  <c r="L48" i="2"/>
  <c r="K48" i="2"/>
  <c r="J48" i="2"/>
  <c r="I48" i="2"/>
  <c r="H48" i="2"/>
  <c r="G48" i="2"/>
  <c r="F48" i="2"/>
  <c r="E48" i="2"/>
  <c r="D48" i="2"/>
  <c r="C48" i="2"/>
  <c r="O48" i="2" s="1"/>
  <c r="B48" i="2"/>
  <c r="N48" i="2" s="1"/>
  <c r="M47" i="2"/>
  <c r="L47" i="2"/>
  <c r="K47" i="2"/>
  <c r="J47" i="2"/>
  <c r="I47" i="2"/>
  <c r="H47" i="2"/>
  <c r="G47" i="2"/>
  <c r="O47" i="2" s="1"/>
  <c r="F47" i="2"/>
  <c r="E47" i="2"/>
  <c r="D47" i="2"/>
  <c r="C47" i="2"/>
  <c r="B47" i="2"/>
  <c r="N47" i="2" s="1"/>
  <c r="M46" i="2"/>
  <c r="L46" i="2"/>
  <c r="K46" i="2"/>
  <c r="J46" i="2"/>
  <c r="I46" i="2"/>
  <c r="H46" i="2"/>
  <c r="G46" i="2"/>
  <c r="F46" i="2"/>
  <c r="E46" i="2"/>
  <c r="D46" i="2"/>
  <c r="C46" i="2"/>
  <c r="B46" i="2"/>
  <c r="O46" i="2" s="1"/>
  <c r="M45" i="2"/>
  <c r="L45" i="2"/>
  <c r="K45" i="2"/>
  <c r="J45" i="2"/>
  <c r="I45" i="2"/>
  <c r="H45" i="2"/>
  <c r="G45" i="2"/>
  <c r="F45" i="2"/>
  <c r="E45" i="2"/>
  <c r="D45" i="2"/>
  <c r="C45" i="2"/>
  <c r="O45" i="2" s="1"/>
  <c r="B45" i="2"/>
  <c r="N45" i="2" s="1"/>
  <c r="M44" i="2"/>
  <c r="L44" i="2"/>
  <c r="K44" i="2"/>
  <c r="J44" i="2"/>
  <c r="I44" i="2"/>
  <c r="H44" i="2"/>
  <c r="G44" i="2"/>
  <c r="F44" i="2"/>
  <c r="E44" i="2"/>
  <c r="D44" i="2"/>
  <c r="C44" i="2"/>
  <c r="O44" i="2" s="1"/>
  <c r="B44" i="2"/>
  <c r="N44" i="2" s="1"/>
  <c r="M43" i="2"/>
  <c r="L43" i="2"/>
  <c r="K43" i="2"/>
  <c r="J43" i="2"/>
  <c r="I43" i="2"/>
  <c r="H43" i="2"/>
  <c r="G43" i="2"/>
  <c r="F43" i="2"/>
  <c r="E43" i="2"/>
  <c r="O43" i="2" s="1"/>
  <c r="D43" i="2"/>
  <c r="C43" i="2"/>
  <c r="B43" i="2"/>
  <c r="N43" i="2" s="1"/>
  <c r="M42" i="2"/>
  <c r="L42" i="2"/>
  <c r="K42" i="2"/>
  <c r="J42" i="2"/>
  <c r="I42" i="2"/>
  <c r="H42" i="2"/>
  <c r="G42" i="2"/>
  <c r="F42" i="2"/>
  <c r="E42" i="2"/>
  <c r="D42" i="2"/>
  <c r="C42" i="2"/>
  <c r="O42" i="2" s="1"/>
  <c r="B42" i="2"/>
  <c r="N42" i="2" s="1"/>
  <c r="O41" i="2"/>
  <c r="M41" i="2"/>
  <c r="L41" i="2"/>
  <c r="K41" i="2"/>
  <c r="J41" i="2"/>
  <c r="I41" i="2"/>
  <c r="H41" i="2"/>
  <c r="G41" i="2"/>
  <c r="F41" i="2"/>
  <c r="E41" i="2"/>
  <c r="D41" i="2"/>
  <c r="C41" i="2"/>
  <c r="B41" i="2"/>
  <c r="N41" i="2" s="1"/>
  <c r="M40" i="2"/>
  <c r="L40" i="2"/>
  <c r="L52" i="2" s="1"/>
  <c r="K40" i="2"/>
  <c r="J40" i="2"/>
  <c r="J52" i="2" s="1"/>
  <c r="I40" i="2"/>
  <c r="H40" i="2"/>
  <c r="G40" i="2"/>
  <c r="F40" i="2"/>
  <c r="F52" i="2" s="1"/>
  <c r="E40" i="2"/>
  <c r="D40" i="2"/>
  <c r="C40" i="2"/>
  <c r="B40" i="2"/>
  <c r="O40" i="2" s="1"/>
  <c r="M39" i="2"/>
  <c r="M52" i="2" s="1"/>
  <c r="L39" i="2"/>
  <c r="K39" i="2"/>
  <c r="K52" i="2" s="1"/>
  <c r="J39" i="2"/>
  <c r="I39" i="2"/>
  <c r="I52" i="2" s="1"/>
  <c r="H39" i="2"/>
  <c r="H52" i="2" s="1"/>
  <c r="G39" i="2"/>
  <c r="G52" i="2" s="1"/>
  <c r="F39" i="2"/>
  <c r="E39" i="2"/>
  <c r="E52" i="2" s="1"/>
  <c r="D39" i="2"/>
  <c r="D52" i="2" s="1"/>
  <c r="C39" i="2"/>
  <c r="O39" i="2" s="1"/>
  <c r="B39" i="2"/>
  <c r="N39" i="2" s="1"/>
  <c r="M36" i="2"/>
  <c r="L36" i="2"/>
  <c r="K36" i="2"/>
  <c r="J36" i="2"/>
  <c r="I36" i="2"/>
  <c r="H36" i="2"/>
  <c r="G36" i="2"/>
  <c r="F36" i="2"/>
  <c r="E36" i="2"/>
  <c r="D36" i="2"/>
  <c r="C36" i="2"/>
  <c r="B36" i="2"/>
  <c r="O35" i="2"/>
  <c r="N35" i="2"/>
  <c r="O34" i="2"/>
  <c r="N34" i="2"/>
  <c r="N36" i="2" s="1"/>
  <c r="O36" i="2" s="1"/>
  <c r="O33" i="2"/>
  <c r="N33" i="2"/>
  <c r="M30" i="2"/>
  <c r="M61" i="2" s="1"/>
  <c r="L30" i="2"/>
  <c r="K30" i="2"/>
  <c r="J30" i="2"/>
  <c r="I30" i="2"/>
  <c r="H30" i="2"/>
  <c r="G30" i="2"/>
  <c r="F30" i="2"/>
  <c r="F61" i="2" s="1"/>
  <c r="E30" i="2"/>
  <c r="E61" i="2" s="1"/>
  <c r="D30" i="2"/>
  <c r="D61" i="2" s="1"/>
  <c r="C30" i="2"/>
  <c r="B30" i="2"/>
  <c r="O29" i="2"/>
  <c r="N29" i="2"/>
  <c r="O28" i="2"/>
  <c r="N28" i="2"/>
  <c r="O27" i="2"/>
  <c r="N27" i="2"/>
  <c r="O26" i="2"/>
  <c r="N26" i="2"/>
  <c r="O25" i="2"/>
  <c r="N25" i="2"/>
  <c r="O24" i="2"/>
  <c r="N24" i="2"/>
  <c r="O23" i="2"/>
  <c r="N23" i="2"/>
  <c r="O22" i="2"/>
  <c r="N22" i="2"/>
  <c r="O21" i="2"/>
  <c r="N21" i="2"/>
  <c r="O20" i="2"/>
  <c r="N20" i="2"/>
  <c r="O19" i="2"/>
  <c r="N19" i="2"/>
  <c r="O18" i="2"/>
  <c r="N18" i="2"/>
  <c r="N30" i="2" s="1"/>
  <c r="M15" i="2"/>
  <c r="L15" i="2"/>
  <c r="K15" i="2"/>
  <c r="J15" i="2"/>
  <c r="I15" i="2"/>
  <c r="H15" i="2"/>
  <c r="G15" i="2"/>
  <c r="F15" i="2"/>
  <c r="F63" i="2" s="1"/>
  <c r="E15" i="2"/>
  <c r="D15" i="2"/>
  <c r="C15" i="2"/>
  <c r="B15" i="2"/>
  <c r="O14" i="2"/>
  <c r="N14" i="2"/>
  <c r="O13" i="2"/>
  <c r="N13" i="2"/>
  <c r="O12" i="2"/>
  <c r="N12" i="2"/>
  <c r="O11" i="2"/>
  <c r="N11" i="2"/>
  <c r="O10" i="2"/>
  <c r="N10" i="2"/>
  <c r="O9" i="2"/>
  <c r="N9" i="2"/>
  <c r="N15" i="2" s="1"/>
  <c r="O8" i="2"/>
  <c r="N8" i="2"/>
  <c r="O7" i="2"/>
  <c r="N7" i="2"/>
  <c r="O30" i="2" l="1"/>
  <c r="G61" i="2"/>
  <c r="G63" i="2" s="1"/>
  <c r="B19" i="4"/>
  <c r="B18" i="4"/>
  <c r="E63" i="2"/>
  <c r="H63" i="2"/>
  <c r="H61" i="2"/>
  <c r="M63" i="2"/>
  <c r="O15" i="2"/>
  <c r="I61" i="2"/>
  <c r="I63" i="2" s="1"/>
  <c r="N59" i="2"/>
  <c r="O59" i="2" s="1"/>
  <c r="O55" i="2"/>
  <c r="K61" i="2"/>
  <c r="K63" i="2" s="1"/>
  <c r="D63" i="2"/>
  <c r="J61" i="2"/>
  <c r="J63" i="2" s="1"/>
  <c r="L61" i="2"/>
  <c r="L63" i="2" s="1"/>
  <c r="N40" i="2"/>
  <c r="N52" i="2" s="1"/>
  <c r="B52" i="2"/>
  <c r="B61" i="2" s="1"/>
  <c r="B63" i="2" s="1"/>
  <c r="B67" i="2" s="1"/>
  <c r="B69" i="2" s="1"/>
  <c r="C66" i="2" s="1"/>
  <c r="C67" i="2" s="1"/>
  <c r="C69" i="2" s="1"/>
  <c r="D66" i="2" s="1"/>
  <c r="D67" i="2" s="1"/>
  <c r="D69" i="2" s="1"/>
  <c r="E66" i="2" s="1"/>
  <c r="E67" i="2" s="1"/>
  <c r="E69" i="2" s="1"/>
  <c r="F66" i="2" s="1"/>
  <c r="F67" i="2" s="1"/>
  <c r="F69" i="2" s="1"/>
  <c r="G66" i="2" s="1"/>
  <c r="G67" i="2" s="1"/>
  <c r="G69" i="2" s="1"/>
  <c r="H66" i="2" s="1"/>
  <c r="H67" i="2" s="1"/>
  <c r="H69" i="2" s="1"/>
  <c r="I66" i="2" s="1"/>
  <c r="I67" i="2" s="1"/>
  <c r="I69" i="2" s="1"/>
  <c r="J66" i="2" s="1"/>
  <c r="J67" i="2" s="1"/>
  <c r="J69" i="2" s="1"/>
  <c r="K66" i="2" s="1"/>
  <c r="K67" i="2" s="1"/>
  <c r="K69" i="2" s="1"/>
  <c r="L66" i="2" s="1"/>
  <c r="L67" i="2" s="1"/>
  <c r="L69" i="2" s="1"/>
  <c r="M66" i="2" s="1"/>
  <c r="M67" i="2" s="1"/>
  <c r="M69" i="2" s="1"/>
  <c r="D21" i="7"/>
  <c r="D23" i="7" s="1"/>
  <c r="N46" i="2"/>
  <c r="C52" i="2"/>
  <c r="C61" i="2" s="1"/>
  <c r="C63" i="2" s="1"/>
  <c r="E21" i="7"/>
  <c r="E23" i="7" s="1"/>
  <c r="N11" i="4"/>
  <c r="O52" i="2" l="1"/>
  <c r="N61" i="2"/>
  <c r="N63" i="2" s="1"/>
</calcChain>
</file>

<file path=xl/sharedStrings.xml><?xml version="1.0" encoding="utf-8"?>
<sst xmlns="http://schemas.openxmlformats.org/spreadsheetml/2006/main" count="468" uniqueCount="385">
  <si>
    <t>Family Income Statement 2026 — v4</t>
  </si>
  <si>
    <t>TABS:</t>
  </si>
  <si>
    <t xml:space="preserve">  README          — this guide</t>
  </si>
  <si>
    <t xml:space="preserve">  Income Statement — main monthly P&amp;L</t>
  </si>
  <si>
    <t xml:space="preserve">  CC Detail       — categorized variable spending (auto)</t>
  </si>
  <si>
    <t xml:space="preserve">  Solar ROI       — capital, monthly savings, payback</t>
  </si>
  <si>
    <t xml:space="preserve">  Balances        — month-end account snapshots</t>
  </si>
  <si>
    <t xml:space="preserve">  Comp &amp; Benefits — Matt 401k, Sue pension/403b, FSA tracking</t>
  </si>
  <si>
    <t xml:space="preserve">  Scenarios       — financial what-if analysis</t>
  </si>
  <si>
    <t xml:space="preserve">  Charts          — auto-generated charts (run from menu)</t>
  </si>
  <si>
    <t xml:space="preserve">  Imports - Checking / Savings / Barclay — paste raw CSVs here</t>
  </si>
  <si>
    <t xml:space="preserve">  Rules           — merchant -&gt; category mappings</t>
  </si>
  <si>
    <t>MENU (after running the Apps Script):</t>
  </si>
  <si>
    <t xml:space="preserve">  📊 Family Finances</t>
  </si>
  <si>
    <t xml:space="preserve">    → Categorize &amp; Roll Up      (process Imports tabs)</t>
  </si>
  <si>
    <t xml:space="preserve">    → Generate / Refresh Charts (build/update Charts tab)</t>
  </si>
  <si>
    <t xml:space="preserve">    → Clear All Imports         (wipe Imports tabs after monthly run)</t>
  </si>
  <si>
    <t xml:space="preserve">    → Roll Over to Next Year    (carry forward balances, archive 2026)</t>
  </si>
  <si>
    <t xml:space="preserve">    → Clear CC Detail           (reset categorized totals)</t>
  </si>
  <si>
    <t>MONTHLY ROUTINE (5 min):</t>
  </si>
  <si>
    <t xml:space="preserve">  1. Download CSVs from Capital One (both accounts) and Barclaycard.</t>
  </si>
  <si>
    <t xml:space="preserve">     Use full YTD date range (Jan 1 to today) — paste-replaces previous data.</t>
  </si>
  <si>
    <t xml:space="preserve">  2. Paste each CSV into its matching Imports tab (overwrite previous month).</t>
  </si>
  <si>
    <t xml:space="preserve">  3. Run: 📊 Family Finances → Categorize &amp; Roll Up.</t>
  </si>
  <si>
    <t xml:space="preserve">  4. Yellow rows in Imports = uncategorized — review and add rules if needed.</t>
  </si>
  <si>
    <t xml:space="preserve">  5. Update Balances tab with month-end account balances.</t>
  </si>
  <si>
    <t xml:space="preserve">  6. Update Solar ROI with the actual electric bill.</t>
  </si>
  <si>
    <t xml:space="preserve">  7. Enter the actual ending checking balance in Reconciliation row.</t>
  </si>
  <si>
    <t xml:space="preserve">     If Variance is near zero, your tracking is correct.</t>
  </si>
  <si>
    <t xml:space="preserve">  8. (Optional) Run: Generate / Refresh Charts to update visuals.</t>
  </si>
  <si>
    <t>YEAR-END ROUTINE (10 min):</t>
  </si>
  <si>
    <t xml:space="preserve">  1. Make sure all 12 months of 2026 are filled in.</t>
  </si>
  <si>
    <t xml:space="preserve">  2. File → Make a copy. Rename original to 'FIS 2026 (archived)'.</t>
  </si>
  <si>
    <t xml:space="preserve">  3. In the new copy, run: 📊 Family Finances → Roll Over to Next Year.</t>
  </si>
  <si>
    <t xml:space="preserve">     This clears 2026 monthly data and carries Dec balances → Jan 2027.</t>
  </si>
  <si>
    <t xml:space="preserve">  4. Update the title on the Income Statement tab (cell A1).</t>
  </si>
  <si>
    <t xml:space="preserve">  5. Update Solar ROI baseline values for the new year.</t>
  </si>
  <si>
    <t>WHY THE OLD SHEET SHOWED A DEFICIT THAT WASN'T REAL:</t>
  </si>
  <si>
    <t xml:space="preserve">  - Logging the Barclaycard payment (~$5-8k/mo) AS an expense, while individual</t>
  </si>
  <si>
    <t xml:space="preserve">    purchases on the card were ALSO categorized -&gt; double-counting.</t>
  </si>
  <si>
    <t xml:space="preserve">  - Childcare under-logged: spreadsheet had ~$350/mo, actual = ~$880/mo.</t>
  </si>
  <si>
    <t xml:space="preserve">  - Mortgage under-logged: spreadsheet had $3,254/mo, actual ~$3,562/mo average</t>
  </si>
  <si>
    <t xml:space="preserve">    (biweekly payments yield 26/yr = 13 monthly equivalents).</t>
  </si>
  <si>
    <t xml:space="preserve">  - Income under-logged: tuition reimbursement (~$3,634 YTD), MathWorks expense</t>
  </si>
  <si>
    <t xml:space="preserve">    reimbursements, FSA Dep Care reimbursement (~$4,000 March lump),</t>
  </si>
  <si>
    <t xml:space="preserve">    Q4 stakeholder bonus, Q4 401k true-up, Amazon refunds, Barclaycard rewards,</t>
  </si>
  <si>
    <t xml:space="preserve">    MA tax refund — all were buried in the catch-all 'Misc' line.</t>
  </si>
  <si>
    <t>FSA DEP CARE — CONFIRMED, IT REALLY DOES CAUSE A TEMPORARY DEFICIT:</t>
  </si>
  <si>
    <t xml:space="preserve">  - $153.85 deducted pre-tax from each MathWorks paycheck (you never see it).</t>
  </si>
  <si>
    <t xml:space="preserve">  - 26 paychecks × $153.85 = $4,000/year going into the FSA bucket.</t>
  </si>
  <si>
    <t xml:space="preserve">  - Childcare paid out of pocket throughout the year (~$880/mo via checks).</t>
  </si>
  <si>
    <t xml:space="preserve">  - You submit receipts and get reimbursed up to $4,000 — typically as a</t>
  </si>
  <si>
    <t xml:space="preserve">    lump deposit in March.</t>
  </si>
  <si>
    <t xml:space="preserve">  - Net effect: doesn't change annual cash flow, just timing within the year</t>
  </si>
  <si>
    <t xml:space="preserve">    (and saves you ~$1k/yr in taxes).</t>
  </si>
  <si>
    <t>MATTHEW Q4 LUMP SUMS (MathWorks):</t>
  </si>
  <si>
    <t xml:space="preserve">  - 401k contribution: 22% (auto-incr 1%/yr, cap 50%). Plan auto-caps at</t>
  </si>
  <si>
    <t xml:space="preserve">    $23,500/yr — Matt is already maxed (22% × ~$144k = $31.8k &gt; limit).</t>
  </si>
  <si>
    <t xml:space="preserve">    Matt typically maxes out by mid-September; Q4 paychecks then have no</t>
  </si>
  <si>
    <t xml:space="preserve">    401k deduction (richer take-home).</t>
  </si>
  <si>
    <t xml:space="preserve">  - 401k match: throughout the year, MW matches first 3% of pay; in Q4,</t>
  </si>
  <si>
    <t xml:space="preserve">    they typically true-up to 6% (effectively doubling). Goes into 401k account,</t>
  </si>
  <si>
    <t xml:space="preserve">    NOT checking — tracked on Comp &amp; Benefits tab.</t>
  </si>
  <si>
    <t xml:space="preserve">  - Q4 stakeholder bonus: usually doubled at year-end. The doubling deposit</t>
  </si>
  <si>
    <t xml:space="preserve">    DOES hit checking as a separate direct deposit (~$300+, varies by year).</t>
  </si>
  <si>
    <t xml:space="preserve">    Tracked on Income Statement as 'Q4 stakeholder bonus'.</t>
  </si>
  <si>
    <t>STRATEGIC NOTE — Matt's 401k is FULL:</t>
  </si>
  <si>
    <t xml:space="preserve">  Because Matt is already maxed at the $23,500 cap, redirecting freed cash</t>
  </si>
  <si>
    <t xml:space="preserve">  flow toward Matt's 401k adds $0. Best buckets for incremental savings:</t>
  </si>
  <si>
    <t xml:space="preserve">    1. Sue 403b (currently $0; restart + annual rollover to escape Equitable fees)</t>
  </si>
  <si>
    <t xml:space="preserve">    2. Backdoor Roth IRA × 2 ($14,000/yr capacity)</t>
  </si>
  <si>
    <t xml:space="preserve">    3. HSA if MW offers HDHP option (triple tax advantage)</t>
  </si>
  <si>
    <t xml:space="preserve">    4. 529 increase (MA tax deduction up to $2k joint = ~$100/yr savings)</t>
  </si>
  <si>
    <t xml:space="preserve">    5. Taxable brokerage (last resort)</t>
  </si>
  <si>
    <t xml:space="preserve">  See Scenarios tab for side-by-side comparisons.</t>
  </si>
  <si>
    <t>COLOR LEGEND:</t>
  </si>
  <si>
    <t xml:space="preserve">  Yellow cell = input you fill in</t>
  </si>
  <si>
    <t xml:space="preserve">  Green cell  = a rule (Rules tab) or auto-categorized</t>
  </si>
  <si>
    <t xml:space="preserve">  Orange cell = scenario input (Scenarios tab)</t>
  </si>
  <si>
    <t xml:space="preserve">  Blue header = section</t>
  </si>
  <si>
    <t xml:space="preserve">  Red number  = warning / negative variance</t>
  </si>
  <si>
    <t xml:space="preserve">  Green number = positive / good variance</t>
  </si>
  <si>
    <t>Family Income Statement — 2026</t>
  </si>
  <si>
    <t>Yellow = enter values. White = formulas. Some lines pull from CC Detail or Solar ROI.</t>
  </si>
  <si>
    <t>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</si>
  <si>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</si>
  <si>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</si>
  <si>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</si>
  <si>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</si>
  <si>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</si>
  <si>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</si>
  <si>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</si>
  <si>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</si>
  <si>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</si>
  <si>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</si>
  <si>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</si>
  <si>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</si>
  <si>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 Total</t>
  </si>
  <si>
    <t>Avg/mo</t>
  </si>
  <si>
    <t>INCOME</t>
  </si>
  <si>
    <t xml:space="preserve">    Sue — net pay (Town of Sharon)</t>
  </si>
  <si>
    <t xml:space="preserve">    Matt — net pay (MathWorks)</t>
  </si>
  <si>
    <t xml:space="preserve">    Q4 stakeholder bonus (MW lump, doubled)</t>
  </si>
  <si>
    <t xml:space="preserve">    Interest earned</t>
  </si>
  <si>
    <t xml:space="preserve">    FSA Dep Care reimbursement (lump from MW)</t>
  </si>
  <si>
    <t xml:space="preserve">    Tuition reimbursement (MathWorks)</t>
  </si>
  <si>
    <t xml:space="preserve">    Tax refunds (Federal/MA)</t>
  </si>
  <si>
    <t xml:space="preserve">    CC rewards / Misc refunds / Side income</t>
  </si>
  <si>
    <t>Total Income</t>
  </si>
  <si>
    <t>FIXED EXPENSES</t>
  </si>
  <si>
    <t xml:space="preserve">    Mortgage (Rocket biweekly avg)</t>
  </si>
  <si>
    <t xml:space="preserve">    Car — 2023 Sienna loan (BoA)</t>
  </si>
  <si>
    <t xml:space="preserve">    Car — 2022 RAV4 loan (Toyota)</t>
  </si>
  <si>
    <t xml:space="preserve">    Childcare (checks)</t>
  </si>
  <si>
    <t xml:space="preserve">    Tuition (Northeastern)</t>
  </si>
  <si>
    <t xml:space="preserve">    Life insurance — American General</t>
  </si>
  <si>
    <t xml:space="preserve">    Life insurance — ALIC</t>
  </si>
  <si>
    <t xml:space="preserve">    Verizon</t>
  </si>
  <si>
    <t xml:space="preserve">    T-Mobile</t>
  </si>
  <si>
    <t xml:space="preserve">    529 contribution</t>
  </si>
  <si>
    <t xml:space="preserve">    Schwab investment</t>
  </si>
  <si>
    <t xml:space="preserve">    Fidelity investment ($50/mo)</t>
  </si>
  <si>
    <t>Total Fixed Expenses</t>
  </si>
  <si>
    <t>UTILITIES</t>
  </si>
  <si>
    <t xml:space="preserve">    Gas bill</t>
  </si>
  <si>
    <t xml:space="preserve">    Electric (Eversource — pre-solar)</t>
  </si>
  <si>
    <t xml:space="preserve">    Water</t>
  </si>
  <si>
    <t>Total Utilities</t>
  </si>
  <si>
    <t>VARIABLE SPENDING (auto-pulled from CC Detail)</t>
  </si>
  <si>
    <t xml:space="preserve">    Groceries</t>
  </si>
  <si>
    <t xml:space="preserve">    Gas / Vehicle</t>
  </si>
  <si>
    <t xml:space="preserve">    Dining out</t>
  </si>
  <si>
    <t xml:space="preserve">    Subscriptions</t>
  </si>
  <si>
    <t xml:space="preserve">    Kids / Activities</t>
  </si>
  <si>
    <t xml:space="preserve">    Travel</t>
  </si>
  <si>
    <t xml:space="preserve">    Personal Care</t>
  </si>
  <si>
    <t xml:space="preserve">    Pharmacy / Health</t>
  </si>
  <si>
    <t xml:space="preserve">    Home / Hardware</t>
  </si>
  <si>
    <t xml:space="preserve">    Amazon (misc)</t>
  </si>
  <si>
    <t xml:space="preserve">    Landscaping</t>
  </si>
  <si>
    <t xml:space="preserve">    Cash / allowances</t>
  </si>
  <si>
    <t xml:space="preserve">    Other / misc</t>
  </si>
  <si>
    <t>Total Variable Spending</t>
  </si>
  <si>
    <t>ONE-TIME / LARGE ITEMS</t>
  </si>
  <si>
    <t xml:space="preserve">    Solar install (capital — see Solar tab)</t>
  </si>
  <si>
    <t xml:space="preserve">    Federal taxes owed (April)</t>
  </si>
  <si>
    <t xml:space="preserve">    TurboTax / tax prep</t>
  </si>
  <si>
    <t xml:space="preserve">    Other large item</t>
  </si>
  <si>
    <t>Total One-Time</t>
  </si>
  <si>
    <t>TOTAL EXPENSES</t>
  </si>
  <si>
    <t>NET CASH FLOW (Income − Expenses)</t>
  </si>
  <si>
    <t>RECONCILIATION</t>
  </si>
  <si>
    <t xml:space="preserve">    Checking — beginning balance</t>
  </si>
  <si>
    <t xml:space="preserve">    Predicted ending = beg + net cash flow</t>
  </si>
  <si>
    <t xml:space="preserve">    Actual ending checking balance</t>
  </si>
  <si>
    <t xml:space="preserve">    Variance (actual − predicted)</t>
  </si>
  <si>
    <t>Variable Spending — by category (auto-populated)</t>
  </si>
  <si>
    <t>Auto-regenerated by Apps Script. Edit Rules tab to change categorization rather than typing here directly.</t>
  </si>
  <si>
    <t>YTD</t>
  </si>
  <si>
    <t>Groceries</t>
  </si>
  <si>
    <t>Gas / Vehicle</t>
  </si>
  <si>
    <t>Dining out</t>
  </si>
  <si>
    <t>Subscriptions</t>
  </si>
  <si>
    <t>Kids / Activities</t>
  </si>
  <si>
    <t>Travel</t>
  </si>
  <si>
    <t>Personal Care</t>
  </si>
  <si>
    <t>Pharmacy / Health</t>
  </si>
  <si>
    <t>Home / Hardware</t>
  </si>
  <si>
    <t>Amazon (misc)</t>
  </si>
  <si>
    <t>Landscaping</t>
  </si>
  <si>
    <t>Cash / allowances</t>
  </si>
  <si>
    <t>Other / misc</t>
  </si>
  <si>
    <t>Total variable spending</t>
  </si>
  <si>
    <t>Barclaycard statement total (manual — sanity)</t>
  </si>
  <si>
    <t>(Categorized − Statement) — should be ~0</t>
  </si>
  <si>
    <t>Solar Panel ROI Tracker</t>
  </si>
  <si>
    <t>Capital costs in row 5. Net meter goes live: track baseline (what you would have paid) vs. actual (with solar).</t>
  </si>
  <si>
    <t>Item</t>
  </si>
  <si>
    <t>Capital outlay</t>
  </si>
  <si>
    <t>Tax credits / incentives</t>
  </si>
  <si>
    <t>Net capital cost</t>
  </si>
  <si>
    <t>Baseline electric (estimate)</t>
  </si>
  <si>
    <t>Actual electric bill</t>
  </si>
  <si>
    <t>Monthly savings</t>
  </si>
  <si>
    <t>Cumulative savings</t>
  </si>
  <si>
    <t>Payback summary</t>
  </si>
  <si>
    <t xml:space="preserve">    Net capital cost</t>
  </si>
  <si>
    <t xml:space="preserve">    Avg monthly savings</t>
  </si>
  <si>
    <t xml:space="preserve">    Projected annual savings</t>
  </si>
  <si>
    <t xml:space="preserve">    Payback period (years)</t>
  </si>
  <si>
    <t xml:space="preserve">    % paid back</t>
  </si>
  <si>
    <t>Account Balances — month-end snapshots</t>
  </si>
  <si>
    <t>Snapshot at end of each month.</t>
  </si>
  <si>
    <t>Account</t>
  </si>
  <si>
    <t>Capital One Checking (7912)</t>
  </si>
  <si>
    <t>Capital One Savings (8940)</t>
  </si>
  <si>
    <t>Capital One Venmo float (9345)</t>
  </si>
  <si>
    <t>Fidelity Money Market</t>
  </si>
  <si>
    <t>Schwab investment</t>
  </si>
  <si>
    <t>529</t>
  </si>
  <si>
    <t>FSA Dep Care balance</t>
  </si>
  <si>
    <t>FSA Health Care balance</t>
  </si>
  <si>
    <t>Matt 401k (MathWorks)</t>
  </si>
  <si>
    <t>Sue 403b (Equitable)</t>
  </si>
  <si>
    <t>Sue pension (estimated)</t>
  </si>
  <si>
    <t>Other</t>
  </si>
  <si>
    <t>Total assets</t>
  </si>
  <si>
    <t>MoM change (assets)</t>
  </si>
  <si>
    <t>Compensation &amp; Benefits Tracking</t>
  </si>
  <si>
    <t>Track YTD progress on retirement contributions, FSA, employer match. Update from paystubs (or from Workday/MathWorks portal monthly).</t>
  </si>
  <si>
    <t>MATT (MathWorks)</t>
  </si>
  <si>
    <t>Per pay period</t>
  </si>
  <si>
    <t>Annual cap (2026)</t>
  </si>
  <si>
    <t>% used</t>
  </si>
  <si>
    <t>Notes</t>
  </si>
  <si>
    <t>Gross earnings</t>
  </si>
  <si>
    <t>Hourly + OT + Stakeholder + Reimbursements YTD</t>
  </si>
  <si>
    <t>Contribution rate %</t>
  </si>
  <si>
    <t>22%</t>
  </si>
  <si>
    <t>50% cap</t>
  </si>
  <si>
    <t>Auto-increases 1%/yr on May 1 up to 50% cap</t>
  </si>
  <si>
    <t>401k contribution (target)</t>
  </si>
  <si>
    <t>22% of ~$144k = ~$31,800 intended; PLAN AUTO-CAPS at $23,500. Maxes out by ~Sep.</t>
  </si>
  <si>
    <t>401k match (3% baseline, throughout)</t>
  </si>
  <si>
    <t>MW matches first 3% of pay; calculated as 3% of $144,612</t>
  </si>
  <si>
    <t>401k match Q4 true-up (3% lump)</t>
  </si>
  <si>
    <t>MW typically doubles to 6% at year-end (lump in 401k acct, NOT cash)</t>
  </si>
  <si>
    <t>FSA Dep Care</t>
  </si>
  <si>
    <t>Reimbursed when receipts submitted</t>
  </si>
  <si>
    <t>FSA Health Care</t>
  </si>
  <si>
    <t>2026 limit; reimbursed for medical expenses</t>
  </si>
  <si>
    <t>Tuition reimbursement (received)</t>
  </si>
  <si>
    <t>IRC §127 tax-free up to $5,250/yr</t>
  </si>
  <si>
    <t>Stakeholder Earnings YTD</t>
  </si>
  <si>
    <t>Doubled in Q4 — track when received</t>
  </si>
  <si>
    <t>Q4 stakeholder bonus</t>
  </si>
  <si>
    <t>Lump sum, hits checking separately</t>
  </si>
  <si>
    <t>SUE (Sharon Public Schools)</t>
  </si>
  <si>
    <t>MA pension contribution</t>
  </si>
  <si>
    <t>Mandatory deduction; not in retirement portfolio</t>
  </si>
  <si>
    <t>403b contribution (Equitable)</t>
  </si>
  <si>
    <t>0</t>
  </si>
  <si>
    <t>STOPPED — high fees; consider restart + annual rollover to Fidelity</t>
  </si>
  <si>
    <t>403b match</t>
  </si>
  <si>
    <t>Verify if district matches — depends on contract</t>
  </si>
  <si>
    <t>Total retirement %</t>
  </si>
  <si>
    <t>Track total Sue retirement savings rate including pension</t>
  </si>
  <si>
    <t>529 (kids college)</t>
  </si>
  <si>
    <t>Per month</t>
  </si>
  <si>
    <t>MA tax deduction cap</t>
  </si>
  <si>
    <t>529 contributions</t>
  </si>
  <si>
    <t>MA deducts up to $2k joint (~$100/yr tax savings)</t>
  </si>
  <si>
    <t>Financial Scenarios — what-if analysis</t>
  </si>
  <si>
    <t>Orange cells = inputs you can change. Other cells calculate automatically. Models 20-year horizon with simplified assumptions — not investment advice.</t>
  </si>
  <si>
    <t>ASSUMPTIONS</t>
  </si>
  <si>
    <t>Expected investment return (annual)</t>
  </si>
  <si>
    <t>Stock/bond mix typical for retirement timeline</t>
  </si>
  <si>
    <t>Time horizon (years)</t>
  </si>
  <si>
    <t>MA marginal tax rate</t>
  </si>
  <si>
    <t>Federal marginal tax rate</t>
  </si>
  <si>
    <t>LOANS</t>
  </si>
  <si>
    <t>Loan</t>
  </si>
  <si>
    <t>Balance</t>
  </si>
  <si>
    <t>Rate</t>
  </si>
  <si>
    <t>Monthly pmt</t>
  </si>
  <si>
    <t>Months left</t>
  </si>
  <si>
    <t>Interest remaining</t>
  </si>
  <si>
    <t>RAV4 (Toyota)</t>
  </si>
  <si>
    <t>Sienna (BoA)</t>
  </si>
  <si>
    <t>Mortgage (Rocket)</t>
  </si>
  <si>
    <t>SCENARIOS — projected outcomes over horizon</t>
  </si>
  <si>
    <t>Action</t>
  </si>
  <si>
    <t>Status quo</t>
  </si>
  <si>
    <t>Restart Sue 403b at $300/mo</t>
  </si>
  <si>
    <t>Pay off RAV4 → backdoor Roth IRAs ($7k×2)</t>
  </si>
  <si>
    <t>Pay off RAV4 + restart Sue 403b</t>
  </si>
  <si>
    <t>Aggressive: all above + boost 529 to $300/mo</t>
  </si>
  <si>
    <t>Monthly cash impact (vs status quo)</t>
  </si>
  <si>
    <t>New annual investment contributions</t>
  </si>
  <si>
    <t>Annual tax savings (federal+state)</t>
  </si>
  <si>
    <t>Loan interest saved (one-time)</t>
  </si>
  <si>
    <t>Investment growth over horizon</t>
  </si>
  <si>
    <t>TOTAL benefit (FV + interest saved + tax savings × horizon)</t>
  </si>
  <si>
    <t>Charts (auto-generated)</t>
  </si>
  <si>
    <t>Run: 📊 Family Finances → Generate / Refresh Charts. The Apps Script creates 4 charts on this tab from the data in Income Statement, CC Detail, Solar ROI, and Balances tabs.</t>
  </si>
  <si>
    <t>(Charts will appear here after first run)</t>
  </si>
  <si>
    <t>Imports — Checking</t>
  </si>
  <si>
    <t>Paste Capital One Checking CSV here (full YTD recommended). Run: 📊 Family Finances → Categorize &amp; Roll Up.</t>
  </si>
  <si>
    <t>Account Number</t>
  </si>
  <si>
    <t>Transaction Description</t>
  </si>
  <si>
    <t>Transaction Date</t>
  </si>
  <si>
    <t>Transaction Type</t>
  </si>
  <si>
    <t>Transaction Amount</t>
  </si>
  <si>
    <t>→ Category (auto)</t>
  </si>
  <si>
    <t>Imports — Savings</t>
  </si>
  <si>
    <t>Paste Capital One Savings CSV here.</t>
  </si>
  <si>
    <t>Imports — Barclay</t>
  </si>
  <si>
    <t>Paste Barclaycard CSV (skip header rows above 'Transaction Date').</t>
  </si>
  <si>
    <t>Description</t>
  </si>
  <si>
    <t>Amount</t>
  </si>
  <si>
    <t>Card Last 4 Digits</t>
  </si>
  <si>
    <t>Purchased by</t>
  </si>
  <si>
    <t>Categorization Rules</t>
  </si>
  <si>
    <t>Edit to change merchant categorization. First match wins (top down).</t>
  </si>
  <si>
    <t>Pattern (regex)</t>
  </si>
  <si>
    <t>Withdrawal to 360 Performance Savings</t>
  </si>
  <si>
    <t>__TRANSFER__</t>
  </si>
  <si>
    <t>Move $ to savings</t>
  </si>
  <si>
    <t>Deposit from 360 Performance Savings</t>
  </si>
  <si>
    <t>Move $ from savings</t>
  </si>
  <si>
    <t>Withdrawal to 360 Checking</t>
  </si>
  <si>
    <t>Savings → Checking</t>
  </si>
  <si>
    <t>Deposit from 360 Checking</t>
  </si>
  <si>
    <t>Checking → Savings</t>
  </si>
  <si>
    <t>BARCLAYCARD US CREDITCARD</t>
  </si>
  <si>
    <t>Pay Barclaycard bill</t>
  </si>
  <si>
    <t>TARGET CARD SRVC PAYMENT</t>
  </si>
  <si>
    <t>Pay Target card bill</t>
  </si>
  <si>
    <t>^Payment Received$</t>
  </si>
  <si>
    <t>Barclaycard side of CC payment</t>
  </si>
  <si>
    <t>MATHWORKS INC PAYROLL</t>
  </si>
  <si>
    <t>__INCOME__:Matt</t>
  </si>
  <si>
    <t>Matt's paycheck</t>
  </si>
  <si>
    <t>TOWN OF SHARON PAYROLL</t>
  </si>
  <si>
    <t>__INCOME__:Sue</t>
  </si>
  <si>
    <t>Sue's paycheck</t>
  </si>
  <si>
    <t>COMM\. OF MASS\. MASTTAXRFD</t>
  </si>
  <si>
    <t>__INCOME__:Tax refunds</t>
  </si>
  <si>
    <t>MA tax refund</t>
  </si>
  <si>
    <t>Monthly Interest Paid</t>
  </si>
  <si>
    <t>__INCOME__:Interest</t>
  </si>
  <si>
    <t>Bank interest</t>
  </si>
  <si>
    <t>Simple Earn Stmt Credit</t>
  </si>
  <si>
    <t>__INCOME__:CC rewards</t>
  </si>
  <si>
    <t>Barclaycard rewards</t>
  </si>
  <si>
    <t>TRAVEL CREDIT</t>
  </si>
  <si>
    <t>Travel statement credit</t>
  </si>
  <si>
    <t>MastercardTransitOffer</t>
  </si>
  <si>
    <t>Transit promo</t>
  </si>
  <si>
    <t>AMAZON MKTPLACE PMTS</t>
  </si>
  <si>
    <t>__INCOME__:Misc refunds</t>
  </si>
  <si>
    <t>Amazon refund</t>
  </si>
  <si>
    <t>ROCKET MORTGAGE</t>
  </si>
  <si>
    <t>__FIXED__:Mortgage</t>
  </si>
  <si>
    <t>Biweekly mortgage</t>
  </si>
  <si>
    <t>AMERICAN GEN LIF INS</t>
  </si>
  <si>
    <t>__FIXED__:Life ins (AmGen)</t>
  </si>
  <si>
    <t>ALIC INS PREM</t>
  </si>
  <si>
    <t>__FIXED__:Life ins (ALIC)</t>
  </si>
  <si>
    <t>TOYOTA ACH</t>
  </si>
  <si>
    <t>__FIXED__:Car (RAV4)</t>
  </si>
  <si>
    <t>RAV4 loan</t>
  </si>
  <si>
    <t>BANK OF AMERICA ONLINE PMT</t>
  </si>
  <si>
    <t>__FIXED__:Car (Sienna)</t>
  </si>
  <si>
    <t>Sienna auto loan</t>
  </si>
  <si>
    <t>VERIZON</t>
  </si>
  <si>
    <t>__FIXED__:Verizon</t>
  </si>
  <si>
    <t>TMOBILE</t>
  </si>
  <si>
    <t>__FIXED__:T-Mobile</t>
  </si>
  <si>
    <t>EVERSOURCE</t>
  </si>
  <si>
    <t>__FIXED__:Electric</t>
  </si>
  <si>
    <t>SCHWAB ADV</t>
  </si>
  <si>
    <t>__FIXED__:Schwab investment</t>
  </si>
  <si>
    <t>FID BKG SVC</t>
  </si>
  <si>
    <t>__FIXED__:Fidelity investment</t>
  </si>
  <si>
    <t>NORTHEASTERN UNI</t>
  </si>
  <si>
    <t>__FIXED__:Tuition</t>
  </si>
  <si>
    <t>Check #</t>
  </si>
  <si>
    <t>__FIXED__:Childcare</t>
  </si>
  <si>
    <t>Most checks are childcare</t>
  </si>
  <si>
    <t>ALDI|TRADER JOE|BIG Y|STOP &amp; SHOP|SHAWS|COSTCO WHSE|FARMER IN THE DELL|WARDS BERRY|FLANNEL COW|BUBBLING BROOK</t>
  </si>
  <si>
    <t>COSTCO GAS|CUMBERLAND FARMS|SHELL OIL|EXXON|BJ.*FUEL|SUNOCO|ROJO CAR WASH|E-ZPASS</t>
  </si>
  <si>
    <t>NETFLIX|PARAMOUNT|PEACOCK|NYTIMES|SPOTIFY|PATREON|MISSIONLOCAL|APPLE\.COM/BILL|Groupon</t>
  </si>
  <si>
    <t>WALPOLE YOUTH|RBI BASEBALL|HOCKOMOCK|PATRIOT FLAG|UNIVERSAL POWER|WALPOLE RECREA|NCAHS|OUTSIDERS MERCHAND|KOHR GOLF|FORE KICKS|SASSAMON TRACE|TOWNECRAFTERS</t>
  </si>
  <si>
    <t>COURTYARD|MARRIOTT|SPOTHERO|CAPITOL EXPRESS|SMITH STORE|WIEHLE-RESTON|MR ICEO|PULSEWORKS|BINBOX|^METRO|MULTIPURE|DEERFIELD|LEVY@2NATIONAL</t>
  </si>
  <si>
    <t>DYNASTY BARBER|YOO NAILS|VIONIC SHOES|J CREW|NORDSTROM|On Sportswear|POSHMARK|SECOND GLANCE</t>
  </si>
  <si>
    <t>WALGREENS|CVS|PETCO|MUFFIN HOUSE|MUFFIN</t>
  </si>
  <si>
    <t>HOME DEPOT|ROCKY.*HARDWARE|DOLLARTREE|HOBBY LOBBY|FIVE BELOW|WALMART|VEVOR</t>
  </si>
  <si>
    <t>SULLIVAN LANDSCAPE</t>
  </si>
  <si>
    <t>OPC\*US TREASURY|Intuit Inc</t>
  </si>
  <si>
    <t>__FIXED__:Federal taxes</t>
  </si>
  <si>
    <t>Annual tax payment</t>
  </si>
  <si>
    <t>TST\*|DD \*|SQ \*|TACO BELL|MCDONALD|WENDY|CHIPOTLE|DUNKIN|STARBUCKS|CAFE FRESH|PIZZERIA|ELEPHANT|MENCHIES|TESSIES|ANGELS CAFE|GINJO|SLICE\*|MONAHANS|RUSTIC GARDEN|RIBPUBLIC|CITIZEN CRUST|TACO AZUL|PHOBAMI|CHUCK E CHEESE|ESTELLA|EAGLE BROOK|PENANG|BEE SUITE|7-ELEVEN|BOSTON OPERA|YANKEE SPIRITS|TOTAL WINE|LS NORFOLK|CONVENIENCE FOOD</t>
  </si>
  <si>
    <t>AMAZON MKTPL|AMZN</t>
  </si>
  <si>
    <t>ATM Withdrawal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</si>
</sst>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\$* #,##0_);_(\$* \(#,##0\);_(\$* &quot;-&quot;??_);_(@_)"/>
    <numFmt numFmtId="165" formatCode="0.0"/>
    <numFmt numFmtId="166" formatCode="0.0%"/>
  </numFmts>
  <fonts count="8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9"/>
      <color rgb="FF808080"/>
      <name val="Calibri"/>
    </font>
    <font>
      <b/>
      <sz val="11"/>
      <color rgb="FFFFFFFF"/>
      <name val="Calibri"/>
    </font>
    <font>
      <b/>
      <sz val="11"/>
      <color rgb="FF1F4E78"/>
      <name val="Calibri"/>
    </font>
    <font>
      <b/>
      <sz val="11"/>
      <name val="Calibri"/>
    </font>
    <font>
      <b/>
      <sz val="14"/>
      <color rgb="FF1F4E78"/>
      <name val="Calibri"/>
    </font>
    <font>
      <i/>
      <sz val="11"/>
      <color rgb="FFA0A0A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4" fillId="3" borderId="0" xfId="0" applyFont="1" applyFill="1"/>
    <xf numFmtId="164" fontId="0" fillId="4" borderId="0" xfId="0" applyNumberFormat="1" applyFill="1"/>
    <xf numFmtId="164" fontId="0" fillId="0" borderId="0" xfId="0" applyNumberFormat="1"/>
    <xf numFmtId="0" fontId="5" fillId="5" borderId="1" xfId="0" applyFont="1" applyFill="1" applyBorder="1"/>
    <xf numFmtId="164" fontId="5" fillId="5" borderId="1" xfId="0" applyNumberFormat="1" applyFont="1" applyFill="1" applyBorder="1"/>
    <xf numFmtId="0" fontId="6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  <xf numFmtId="9" fontId="0" fillId="0" borderId="0" xfId="0" applyNumberFormat="1"/>
    <xf numFmtId="166" fontId="0" fillId="6" borderId="0" xfId="0" applyNumberFormat="1" applyFill="1"/>
    <xf numFmtId="0" fontId="0" fillId="6" borderId="0" xfId="0" applyFill="1"/>
    <xf numFmtId="164" fontId="0" fillId="6" borderId="0" xfId="0" applyNumberFormat="1" applyFill="1"/>
    <xf numFmtId="10" fontId="0" fillId="6" borderId="0" xfId="0" applyNumberFormat="1" applyFill="1"/>
    <xf numFmtId="0" fontId="7" fillId="0" borderId="0" xfId="0" applyFont="1"/>
    <xf numFmtId="0" fontId="0" fillId="7" borderId="0" xfId="0" applyFill="1"/>
    <xf numFmtId="0" fontId="1" fillId="0" borderId="0" xfId="0" applyFont="1"/>
    <xf numFmtId="0" fontId="0" fillId="0" borderId="0" xfId="0"/>
    <xf numFmtId="0" fontId="2" fillId="0" borderId="0" xfId="0" applyFont="1"/>
    <xf numFmtId="0" fontId="6" fillId="0" borderId="0" xfId="0" applyFont="1"/>
  </cellXfs>
  <cellStyles count="1">
    <cellStyle name="Normal" xfId="0" builtinId="0"/>
  </cellStyles>
  <dxfs count="8">
    <dxf>
      <font>
        <b/>
        <color rgb="FF2E7D32"/>
      </font>
    </dxf>
    <dxf>
      <font>
        <b/>
        <color rgb="FFC00000"/>
      </font>
    </dxf>
    <dxf>
      <font>
        <b/>
        <color rgb="FFC00000"/>
      </font>
    </dxf>
    <dxf>
      <font>
        <b/>
        <color rgb="FFC00000"/>
      </font>
    </dxf>
    <dxf>
      <font>
        <b/>
        <color rgb="FF2E7D32"/>
      </font>
    </dxf>
    <dxf>
      <font>
        <b/>
        <color rgb="FFC00000"/>
      </font>
    </dxf>
    <dxf>
      <font>
        <b/>
        <color rgb="FFC00000"/>
      </font>
    </dxf>
    <dxf>
      <font>
        <b/>
        <color rgb="FF2E7D3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1"/>
  <sheetViews>
    <sheetView tabSelected="1" workbookViewId="0"/>
  </sheetViews>
  <sheetFormatPr defaultRowHeight="15" x14ac:dyDescent="0.25"/>
  <cols>
    <col min="1" max="1" width="100" customWidth="1"/>
  </cols>
  <sheetData>
    <row r="1" spans="1:1" ht="21" x14ac:dyDescent="0.3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29" spans="1:1" x14ac:dyDescent="0.25">
      <c r="A29" t="s">
        <v>25</v>
      </c>
    </row>
    <row r="30" spans="1:1" x14ac:dyDescent="0.25">
      <c r="A30" t="s">
        <v>26</v>
      </c>
    </row>
    <row r="31" spans="1:1" x14ac:dyDescent="0.25">
      <c r="A31" t="s">
        <v>27</v>
      </c>
    </row>
    <row r="32" spans="1:1" x14ac:dyDescent="0.25">
      <c r="A32" t="s">
        <v>28</v>
      </c>
    </row>
    <row r="33" spans="1:1" x14ac:dyDescent="0.25">
      <c r="A33" t="s">
        <v>29</v>
      </c>
    </row>
    <row r="35" spans="1:1" x14ac:dyDescent="0.25">
      <c r="A35" t="s">
        <v>30</v>
      </c>
    </row>
    <row r="36" spans="1:1" x14ac:dyDescent="0.25">
      <c r="A36" t="s">
        <v>31</v>
      </c>
    </row>
    <row r="37" spans="1:1" x14ac:dyDescent="0.25">
      <c r="A37" t="s">
        <v>32</v>
      </c>
    </row>
    <row r="38" spans="1:1" x14ac:dyDescent="0.25">
      <c r="A38" t="s">
        <v>33</v>
      </c>
    </row>
    <row r="39" spans="1:1" x14ac:dyDescent="0.25">
      <c r="A39" t="s">
        <v>34</v>
      </c>
    </row>
    <row r="40" spans="1:1" x14ac:dyDescent="0.25">
      <c r="A40" t="s">
        <v>35</v>
      </c>
    </row>
    <row r="41" spans="1:1" x14ac:dyDescent="0.25">
      <c r="A41" t="s">
        <v>36</v>
      </c>
    </row>
    <row r="43" spans="1:1" x14ac:dyDescent="0.25">
      <c r="A43" t="s">
        <v>37</v>
      </c>
    </row>
    <row r="44" spans="1:1" x14ac:dyDescent="0.25">
      <c r="A44" t="s">
        <v>38</v>
      </c>
    </row>
    <row r="45" spans="1:1" x14ac:dyDescent="0.25">
      <c r="A45" t="s">
        <v>39</v>
      </c>
    </row>
    <row r="46" spans="1:1" x14ac:dyDescent="0.25">
      <c r="A46" t="s">
        <v>40</v>
      </c>
    </row>
    <row r="47" spans="1:1" x14ac:dyDescent="0.25">
      <c r="A47" t="s">
        <v>41</v>
      </c>
    </row>
    <row r="48" spans="1:1" x14ac:dyDescent="0.25">
      <c r="A48" t="s">
        <v>42</v>
      </c>
    </row>
    <row r="49" spans="1:1" x14ac:dyDescent="0.25">
      <c r="A49" t="s">
        <v>43</v>
      </c>
    </row>
    <row r="50" spans="1:1" x14ac:dyDescent="0.25">
      <c r="A50" t="s">
        <v>44</v>
      </c>
    </row>
    <row r="51" spans="1:1" x14ac:dyDescent="0.25">
      <c r="A51" t="s">
        <v>45</v>
      </c>
    </row>
    <row r="52" spans="1:1" x14ac:dyDescent="0.25">
      <c r="A52" t="s">
        <v>46</v>
      </c>
    </row>
    <row r="54" spans="1:1" x14ac:dyDescent="0.25">
      <c r="A54" t="s">
        <v>47</v>
      </c>
    </row>
    <row r="55" spans="1:1" x14ac:dyDescent="0.25">
      <c r="A55" t="s">
        <v>48</v>
      </c>
    </row>
    <row r="56" spans="1:1" x14ac:dyDescent="0.25">
      <c r="A56" t="s">
        <v>49</v>
      </c>
    </row>
    <row r="57" spans="1:1" x14ac:dyDescent="0.25">
      <c r="A57" t="s">
        <v>50</v>
      </c>
    </row>
    <row r="58" spans="1:1" x14ac:dyDescent="0.25">
      <c r="A58" t="s">
        <v>51</v>
      </c>
    </row>
    <row r="59" spans="1:1" x14ac:dyDescent="0.25">
      <c r="A59" t="s">
        <v>52</v>
      </c>
    </row>
    <row r="60" spans="1:1" x14ac:dyDescent="0.25">
      <c r="A60" t="s">
        <v>53</v>
      </c>
    </row>
    <row r="61" spans="1:1" x14ac:dyDescent="0.25">
      <c r="A61" t="s">
        <v>54</v>
      </c>
    </row>
    <row r="63" spans="1:1" x14ac:dyDescent="0.25">
      <c r="A63" t="s">
        <v>55</v>
      </c>
    </row>
    <row r="64" spans="1:1" x14ac:dyDescent="0.25">
      <c r="A64" t="s">
        <v>56</v>
      </c>
    </row>
    <row r="65" spans="1:1" x14ac:dyDescent="0.25">
      <c r="A65" t="s">
        <v>57</v>
      </c>
    </row>
    <row r="66" spans="1:1" x14ac:dyDescent="0.25">
      <c r="A66" t="s">
        <v>58</v>
      </c>
    </row>
    <row r="67" spans="1:1" x14ac:dyDescent="0.25">
      <c r="A67" t="s">
        <v>59</v>
      </c>
    </row>
    <row r="68" spans="1:1" x14ac:dyDescent="0.25">
      <c r="A68" t="s">
        <v>60</v>
      </c>
    </row>
    <row r="69" spans="1:1" x14ac:dyDescent="0.25">
      <c r="A69" t="s">
        <v>61</v>
      </c>
    </row>
    <row r="70" spans="1:1" x14ac:dyDescent="0.25">
      <c r="A70" t="s">
        <v>62</v>
      </c>
    </row>
    <row r="71" spans="1:1" x14ac:dyDescent="0.25">
      <c r="A71" t="s">
        <v>63</v>
      </c>
    </row>
    <row r="72" spans="1:1" x14ac:dyDescent="0.25">
      <c r="A72" t="s">
        <v>64</v>
      </c>
    </row>
    <row r="73" spans="1:1" x14ac:dyDescent="0.25">
      <c r="A73" t="s">
        <v>65</v>
      </c>
    </row>
    <row r="75" spans="1:1" x14ac:dyDescent="0.25">
      <c r="A75" t="s">
        <v>66</v>
      </c>
    </row>
    <row r="76" spans="1:1" x14ac:dyDescent="0.25">
      <c r="A76" t="s">
        <v>67</v>
      </c>
    </row>
    <row r="77" spans="1:1" x14ac:dyDescent="0.25">
      <c r="A77" t="s">
        <v>68</v>
      </c>
    </row>
    <row r="78" spans="1:1" x14ac:dyDescent="0.25">
      <c r="A78" t="s">
        <v>69</v>
      </c>
    </row>
    <row r="79" spans="1:1" x14ac:dyDescent="0.25">
      <c r="A79" t="s">
        <v>70</v>
      </c>
    </row>
    <row r="80" spans="1:1" x14ac:dyDescent="0.25">
      <c r="A80" t="s">
        <v>71</v>
      </c>
    </row>
    <row r="81" spans="1:1" x14ac:dyDescent="0.25">
      <c r="A81" t="s">
        <v>72</v>
      </c>
    </row>
    <row r="82" spans="1:1" x14ac:dyDescent="0.25">
      <c r="A82" t="s">
        <v>73</v>
      </c>
    </row>
    <row r="83" spans="1:1" x14ac:dyDescent="0.25">
      <c r="A83" t="s">
        <v>74</v>
      </c>
    </row>
    <row r="85" spans="1:1" x14ac:dyDescent="0.25">
      <c r="A85" t="s">
        <v>75</v>
      </c>
    </row>
    <row r="86" spans="1:1" x14ac:dyDescent="0.25">
      <c r="A86" t="s">
        <v>76</v>
      </c>
    </row>
    <row r="87" spans="1:1" x14ac:dyDescent="0.25">
      <c r="A87" t="s">
        <v>77</v>
      </c>
    </row>
    <row r="88" spans="1:1" x14ac:dyDescent="0.25">
      <c r="A88" t="s">
        <v>78</v>
      </c>
    </row>
    <row r="89" spans="1:1" x14ac:dyDescent="0.25">
      <c r="A89" t="s">
        <v>79</v>
      </c>
    </row>
    <row r="90" spans="1:1" x14ac:dyDescent="0.25">
      <c r="A90" t="s">
        <v>80</v>
      </c>
    </row>
    <row r="91" spans="1:1" x14ac:dyDescent="0.25">
      <c r="A91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9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4" customWidth="1"/>
    <col min="2" max="15" width="12" customWidth="1"/>
  </cols>
  <sheetData>
    <row r="1" spans="1:15" ht="21" x14ac:dyDescent="0.35">
      <c r="A1" s="19" t="s">
        <v>82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x14ac:dyDescent="0.25">
      <c r="A2" s="21" t="s">
        <v>83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4" spans="1:15" x14ac:dyDescent="0.25">
      <c r="A4" s="2" t="s">
        <v>84</v>
      </c>
      <c r="B4" s="2" t="s">
        <v>85</v>
      </c>
      <c r="C4" s="2" t="s">
        <v>86</v>
      </c>
      <c r="D4" s="2" t="s">
        <v>87</v>
      </c>
      <c r="E4" s="2" t="s">
        <v>88</v>
      </c>
      <c r="F4" s="2" t="s">
        <v>89</v>
      </c>
      <c r="G4" s="2" t="s">
        <v>90</v>
      </c>
      <c r="H4" s="2" t="s">
        <v>91</v>
      </c>
      <c r="I4" s="2" t="s">
        <v>92</v>
      </c>
      <c r="J4" s="2" t="s">
        <v>93</v>
      </c>
      <c r="K4" s="2" t="s">
        <v>94</v>
      </c>
      <c r="L4" s="2" t="s">
        <v>95</v>
      </c>
      <c r="M4" s="2" t="s">
        <v>96</v>
      </c>
      <c r="N4" s="2" t="s">
        <v>97</v>
      </c>
      <c r="O4" s="2" t="s">
        <v>98</v>
      </c>
    </row>
    <row r="6" spans="1:15" x14ac:dyDescent="0.25">
      <c r="A6" s="3" t="s">
        <v>99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t="s">
        <v>100</v>
      </c>
      <c r="B7" s="4">
        <v>6471</v>
      </c>
      <c r="C7" s="4">
        <v>6628</v>
      </c>
      <c r="D7" s="4">
        <v>6471</v>
      </c>
      <c r="E7" s="4">
        <v>9856</v>
      </c>
      <c r="F7" s="4"/>
      <c r="G7" s="4"/>
      <c r="H7" s="4"/>
      <c r="I7" s="4"/>
      <c r="J7" s="4"/>
      <c r="K7" s="4"/>
      <c r="L7" s="4"/>
      <c r="M7" s="4"/>
      <c r="N7" s="5">
        <f t="shared" ref="N7:N14" si="0">SUM(B7:M7)</f>
        <v>29426</v>
      </c>
      <c r="O7" s="5">
        <f t="shared" ref="O7:O14" si="1">IFERROR(AVERAGEIF(B7:M7,"&lt;&gt;0"),0)</f>
        <v>7356.5</v>
      </c>
    </row>
    <row r="8" spans="1:15" x14ac:dyDescent="0.25">
      <c r="A8" t="s">
        <v>101</v>
      </c>
      <c r="B8" s="4">
        <v>5180</v>
      </c>
      <c r="C8" s="4">
        <v>4552</v>
      </c>
      <c r="D8" s="4">
        <v>3828</v>
      </c>
      <c r="E8" s="4">
        <v>5427</v>
      </c>
      <c r="F8" s="4"/>
      <c r="G8" s="4"/>
      <c r="H8" s="4"/>
      <c r="I8" s="4"/>
      <c r="J8" s="4"/>
      <c r="K8" s="4"/>
      <c r="L8" s="4"/>
      <c r="M8" s="4"/>
      <c r="N8" s="5">
        <f t="shared" si="0"/>
        <v>18987</v>
      </c>
      <c r="O8" s="5">
        <f t="shared" si="1"/>
        <v>4746.75</v>
      </c>
    </row>
    <row r="9" spans="1:15" x14ac:dyDescent="0.25">
      <c r="A9" t="s">
        <v>102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>
        <f t="shared" si="0"/>
        <v>0</v>
      </c>
      <c r="O9" s="5">
        <f t="shared" si="1"/>
        <v>0</v>
      </c>
    </row>
    <row r="10" spans="1:15" x14ac:dyDescent="0.25">
      <c r="A10" t="s">
        <v>103</v>
      </c>
      <c r="B10" s="4">
        <v>155</v>
      </c>
      <c r="C10" s="4">
        <v>144</v>
      </c>
      <c r="D10" s="4">
        <v>86</v>
      </c>
      <c r="E10" s="4">
        <v>95</v>
      </c>
      <c r="F10" s="4"/>
      <c r="G10" s="4"/>
      <c r="H10" s="4"/>
      <c r="I10" s="4"/>
      <c r="J10" s="4"/>
      <c r="K10" s="4"/>
      <c r="L10" s="4"/>
      <c r="M10" s="4"/>
      <c r="N10" s="5">
        <f t="shared" si="0"/>
        <v>480</v>
      </c>
      <c r="O10" s="5">
        <f t="shared" si="1"/>
        <v>120</v>
      </c>
    </row>
    <row r="11" spans="1:15" x14ac:dyDescent="0.25">
      <c r="A11" t="s">
        <v>104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>
        <f t="shared" si="0"/>
        <v>0</v>
      </c>
      <c r="O11" s="5">
        <f t="shared" si="1"/>
        <v>0</v>
      </c>
    </row>
    <row r="12" spans="1:15" x14ac:dyDescent="0.25">
      <c r="A12" t="s">
        <v>105</v>
      </c>
      <c r="B12" s="4"/>
      <c r="C12" s="4"/>
      <c r="D12" s="4"/>
      <c r="E12" s="4">
        <v>1848</v>
      </c>
      <c r="F12" s="4"/>
      <c r="G12" s="4"/>
      <c r="H12" s="4"/>
      <c r="I12" s="4"/>
      <c r="J12" s="4"/>
      <c r="K12" s="4"/>
      <c r="L12" s="4"/>
      <c r="M12" s="4"/>
      <c r="N12" s="5">
        <f t="shared" si="0"/>
        <v>1848</v>
      </c>
      <c r="O12" s="5">
        <f t="shared" si="1"/>
        <v>1848</v>
      </c>
    </row>
    <row r="13" spans="1:15" x14ac:dyDescent="0.25">
      <c r="A13" t="s">
        <v>106</v>
      </c>
      <c r="B13" s="4"/>
      <c r="C13" s="4"/>
      <c r="D13" s="4"/>
      <c r="E13" s="4">
        <v>603</v>
      </c>
      <c r="F13" s="4"/>
      <c r="G13" s="4"/>
      <c r="H13" s="4"/>
      <c r="I13" s="4"/>
      <c r="J13" s="4"/>
      <c r="K13" s="4"/>
      <c r="L13" s="4"/>
      <c r="M13" s="4"/>
      <c r="N13" s="5">
        <f t="shared" si="0"/>
        <v>603</v>
      </c>
      <c r="O13" s="5">
        <f t="shared" si="1"/>
        <v>603</v>
      </c>
    </row>
    <row r="14" spans="1:15" x14ac:dyDescent="0.25">
      <c r="A14" t="s">
        <v>107</v>
      </c>
      <c r="B14" s="4">
        <v>14</v>
      </c>
      <c r="C14" s="4">
        <v>1303</v>
      </c>
      <c r="D14" s="4">
        <v>121</v>
      </c>
      <c r="E14" s="4">
        <v>45</v>
      </c>
      <c r="F14" s="4"/>
      <c r="G14" s="4"/>
      <c r="H14" s="4"/>
      <c r="I14" s="4"/>
      <c r="J14" s="4"/>
      <c r="K14" s="4"/>
      <c r="L14" s="4"/>
      <c r="M14" s="4"/>
      <c r="N14" s="5">
        <f t="shared" si="0"/>
        <v>1483</v>
      </c>
      <c r="O14" s="5">
        <f t="shared" si="1"/>
        <v>370.75</v>
      </c>
    </row>
    <row r="15" spans="1:15" x14ac:dyDescent="0.25">
      <c r="A15" s="6" t="s">
        <v>108</v>
      </c>
      <c r="B15" s="7">
        <f t="shared" ref="B15:N15" si="2">SUM(B7:B14)</f>
        <v>11820</v>
      </c>
      <c r="C15" s="7">
        <f t="shared" si="2"/>
        <v>12627</v>
      </c>
      <c r="D15" s="7">
        <f t="shared" si="2"/>
        <v>10506</v>
      </c>
      <c r="E15" s="7">
        <f t="shared" si="2"/>
        <v>17874</v>
      </c>
      <c r="F15" s="7">
        <f t="shared" si="2"/>
        <v>0</v>
      </c>
      <c r="G15" s="7">
        <f t="shared" si="2"/>
        <v>0</v>
      </c>
      <c r="H15" s="7">
        <f t="shared" si="2"/>
        <v>0</v>
      </c>
      <c r="I15" s="7">
        <f t="shared" si="2"/>
        <v>0</v>
      </c>
      <c r="J15" s="7">
        <f t="shared" si="2"/>
        <v>0</v>
      </c>
      <c r="K15" s="7">
        <f t="shared" si="2"/>
        <v>0</v>
      </c>
      <c r="L15" s="7">
        <f t="shared" si="2"/>
        <v>0</v>
      </c>
      <c r="M15" s="7">
        <f t="shared" si="2"/>
        <v>0</v>
      </c>
      <c r="N15" s="7">
        <f t="shared" si="2"/>
        <v>52827</v>
      </c>
      <c r="O15" s="7">
        <f>IFERROR(N15/COUNTIF(B15:M15,"&gt;0"),0)</f>
        <v>13206.75</v>
      </c>
    </row>
    <row r="17" spans="1:15" x14ac:dyDescent="0.25">
      <c r="A17" s="3" t="s">
        <v>109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t="s">
        <v>110</v>
      </c>
      <c r="B18" s="4">
        <v>3288.58</v>
      </c>
      <c r="C18" s="4">
        <v>3288.58</v>
      </c>
      <c r="D18" s="4">
        <v>3288.58</v>
      </c>
      <c r="E18" s="4">
        <v>3288.58</v>
      </c>
      <c r="F18" s="4">
        <v>3288.58</v>
      </c>
      <c r="G18" s="4"/>
      <c r="H18" s="4"/>
      <c r="I18" s="4"/>
      <c r="J18" s="4"/>
      <c r="K18" s="4"/>
      <c r="L18" s="4"/>
      <c r="M18" s="4"/>
      <c r="N18" s="5">
        <f t="shared" ref="N18:N29" si="3">SUM(B18:M18)</f>
        <v>16442.900000000001</v>
      </c>
      <c r="O18" s="5">
        <f t="shared" ref="O18:O29" si="4">IFERROR(AVERAGEIF(B18:M18,"&lt;&gt;0"),0)</f>
        <v>3288.5800000000004</v>
      </c>
    </row>
    <row r="19" spans="1:15" x14ac:dyDescent="0.25">
      <c r="A19" t="s">
        <v>111</v>
      </c>
      <c r="B19" s="4">
        <v>416</v>
      </c>
      <c r="C19" s="4">
        <v>416</v>
      </c>
      <c r="D19" s="4">
        <v>416</v>
      </c>
      <c r="E19" s="4">
        <v>416</v>
      </c>
      <c r="F19" s="4">
        <v>416</v>
      </c>
      <c r="G19" s="4"/>
      <c r="H19" s="4"/>
      <c r="I19" s="4"/>
      <c r="J19" s="4"/>
      <c r="K19" s="4"/>
      <c r="L19" s="4"/>
      <c r="M19" s="4"/>
      <c r="N19" s="5">
        <f t="shared" si="3"/>
        <v>2080</v>
      </c>
      <c r="O19" s="5">
        <f t="shared" si="4"/>
        <v>416</v>
      </c>
    </row>
    <row r="20" spans="1:15" x14ac:dyDescent="0.25">
      <c r="A20" t="s">
        <v>112</v>
      </c>
      <c r="B20" s="4">
        <v>451</v>
      </c>
      <c r="C20" s="4">
        <v>451</v>
      </c>
      <c r="D20" s="4">
        <v>451</v>
      </c>
      <c r="E20" s="4">
        <v>451</v>
      </c>
      <c r="F20" s="4">
        <v>451</v>
      </c>
      <c r="G20" s="4"/>
      <c r="H20" s="4"/>
      <c r="I20" s="4"/>
      <c r="J20" s="4"/>
      <c r="K20" s="4"/>
      <c r="L20" s="4"/>
      <c r="M20" s="4"/>
      <c r="N20" s="5">
        <f t="shared" si="3"/>
        <v>2255</v>
      </c>
      <c r="O20" s="5">
        <f t="shared" si="4"/>
        <v>451</v>
      </c>
    </row>
    <row r="21" spans="1:15" x14ac:dyDescent="0.25">
      <c r="A21" t="s">
        <v>113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>
        <f t="shared" si="3"/>
        <v>0</v>
      </c>
      <c r="O21" s="5">
        <f t="shared" si="4"/>
        <v>0</v>
      </c>
    </row>
    <row r="22" spans="1:15" x14ac:dyDescent="0.25">
      <c r="A22" t="s">
        <v>114</v>
      </c>
      <c r="B22" s="4"/>
      <c r="C22" s="4"/>
      <c r="D22" s="4"/>
      <c r="E22" s="4">
        <v>1848.3</v>
      </c>
      <c r="F22" s="4"/>
      <c r="G22" s="4"/>
      <c r="H22" s="4"/>
      <c r="I22" s="4"/>
      <c r="J22" s="4"/>
      <c r="K22" s="4"/>
      <c r="L22" s="4"/>
      <c r="M22" s="4"/>
      <c r="N22" s="5">
        <f t="shared" si="3"/>
        <v>1848.3</v>
      </c>
      <c r="O22" s="5">
        <f t="shared" si="4"/>
        <v>1848.3</v>
      </c>
    </row>
    <row r="23" spans="1:15" x14ac:dyDescent="0.25">
      <c r="A23" t="s">
        <v>115</v>
      </c>
      <c r="B23" s="4">
        <v>46.19</v>
      </c>
      <c r="C23" s="4">
        <v>46.19</v>
      </c>
      <c r="D23" s="4">
        <v>46.19</v>
      </c>
      <c r="E23" s="4">
        <v>46.19</v>
      </c>
      <c r="F23" s="4">
        <v>46.19</v>
      </c>
      <c r="G23" s="4"/>
      <c r="H23" s="4"/>
      <c r="I23" s="4"/>
      <c r="J23" s="4"/>
      <c r="K23" s="4"/>
      <c r="L23" s="4"/>
      <c r="M23" s="4"/>
      <c r="N23" s="5">
        <f t="shared" si="3"/>
        <v>230.95</v>
      </c>
      <c r="O23" s="5">
        <f t="shared" si="4"/>
        <v>46.19</v>
      </c>
    </row>
    <row r="24" spans="1:15" x14ac:dyDescent="0.25">
      <c r="A24" t="s">
        <v>116</v>
      </c>
      <c r="B24" s="4">
        <v>90.39</v>
      </c>
      <c r="C24" s="4">
        <v>90.39</v>
      </c>
      <c r="D24" s="4">
        <v>90.39</v>
      </c>
      <c r="E24" s="4">
        <v>90.39</v>
      </c>
      <c r="F24" s="4">
        <v>90.39</v>
      </c>
      <c r="G24" s="4"/>
      <c r="H24" s="4"/>
      <c r="I24" s="4"/>
      <c r="J24" s="4"/>
      <c r="K24" s="4"/>
      <c r="L24" s="4"/>
      <c r="M24" s="4"/>
      <c r="N24" s="5">
        <f t="shared" si="3"/>
        <v>451.95</v>
      </c>
      <c r="O24" s="5">
        <f t="shared" si="4"/>
        <v>90.39</v>
      </c>
    </row>
    <row r="25" spans="1:15" x14ac:dyDescent="0.25">
      <c r="A25" t="s">
        <v>117</v>
      </c>
      <c r="B25" s="4">
        <v>54.99</v>
      </c>
      <c r="C25" s="4">
        <v>54.99</v>
      </c>
      <c r="D25" s="4">
        <v>54.99</v>
      </c>
      <c r="E25" s="4">
        <v>54.99</v>
      </c>
      <c r="F25" s="4">
        <v>54.99</v>
      </c>
      <c r="G25" s="4"/>
      <c r="H25" s="4"/>
      <c r="I25" s="4"/>
      <c r="J25" s="4"/>
      <c r="K25" s="4"/>
      <c r="L25" s="4"/>
      <c r="M25" s="4"/>
      <c r="N25" s="5">
        <f t="shared" si="3"/>
        <v>274.95</v>
      </c>
      <c r="O25" s="5">
        <f t="shared" si="4"/>
        <v>54.989999999999995</v>
      </c>
    </row>
    <row r="26" spans="1:15" x14ac:dyDescent="0.25">
      <c r="A26" t="s">
        <v>118</v>
      </c>
      <c r="B26" s="4">
        <v>139.61000000000001</v>
      </c>
      <c r="C26" s="4">
        <v>139.61000000000001</v>
      </c>
      <c r="D26" s="4">
        <v>139.61000000000001</v>
      </c>
      <c r="E26" s="4">
        <v>139.61000000000001</v>
      </c>
      <c r="F26" s="4">
        <v>139.61000000000001</v>
      </c>
      <c r="G26" s="4"/>
      <c r="H26" s="4"/>
      <c r="I26" s="4"/>
      <c r="J26" s="4"/>
      <c r="K26" s="4"/>
      <c r="L26" s="4"/>
      <c r="M26" s="4"/>
      <c r="N26" s="5">
        <f t="shared" si="3"/>
        <v>698.05000000000007</v>
      </c>
      <c r="O26" s="5">
        <f t="shared" si="4"/>
        <v>139.61000000000001</v>
      </c>
    </row>
    <row r="27" spans="1:15" x14ac:dyDescent="0.25">
      <c r="A27" t="s">
        <v>119</v>
      </c>
      <c r="B27" s="4">
        <v>100</v>
      </c>
      <c r="C27" s="4">
        <v>100</v>
      </c>
      <c r="D27" s="4">
        <v>100</v>
      </c>
      <c r="E27" s="4">
        <v>100</v>
      </c>
      <c r="F27" s="4">
        <v>100</v>
      </c>
      <c r="G27" s="4"/>
      <c r="H27" s="4"/>
      <c r="I27" s="4"/>
      <c r="J27" s="4"/>
      <c r="K27" s="4"/>
      <c r="L27" s="4"/>
      <c r="M27" s="4"/>
      <c r="N27" s="5">
        <f t="shared" si="3"/>
        <v>500</v>
      </c>
      <c r="O27" s="5">
        <f t="shared" si="4"/>
        <v>100</v>
      </c>
    </row>
    <row r="28" spans="1:15" x14ac:dyDescent="0.25">
      <c r="A28" t="s">
        <v>120</v>
      </c>
      <c r="B28" s="4">
        <v>50</v>
      </c>
      <c r="C28" s="4">
        <v>50</v>
      </c>
      <c r="D28" s="4">
        <v>50</v>
      </c>
      <c r="E28" s="4">
        <v>50</v>
      </c>
      <c r="F28" s="4">
        <v>50</v>
      </c>
      <c r="G28" s="4"/>
      <c r="H28" s="4"/>
      <c r="I28" s="4"/>
      <c r="J28" s="4"/>
      <c r="K28" s="4"/>
      <c r="L28" s="4"/>
      <c r="M28" s="4"/>
      <c r="N28" s="5">
        <f t="shared" si="3"/>
        <v>250</v>
      </c>
      <c r="O28" s="5">
        <f t="shared" si="4"/>
        <v>50</v>
      </c>
    </row>
    <row r="29" spans="1:15" x14ac:dyDescent="0.25">
      <c r="A29" t="s">
        <v>121</v>
      </c>
      <c r="B29" s="4">
        <v>50</v>
      </c>
      <c r="C29" s="4">
        <v>50</v>
      </c>
      <c r="D29" s="4">
        <v>50</v>
      </c>
      <c r="E29" s="4">
        <v>50</v>
      </c>
      <c r="F29" s="4">
        <v>50</v>
      </c>
      <c r="G29" s="4"/>
      <c r="H29" s="4"/>
      <c r="I29" s="4"/>
      <c r="J29" s="4"/>
      <c r="K29" s="4"/>
      <c r="L29" s="4"/>
      <c r="M29" s="4"/>
      <c r="N29" s="5">
        <f t="shared" si="3"/>
        <v>250</v>
      </c>
      <c r="O29" s="5">
        <f t="shared" si="4"/>
        <v>50</v>
      </c>
    </row>
    <row r="30" spans="1:15" x14ac:dyDescent="0.25">
      <c r="A30" s="6" t="s">
        <v>122</v>
      </c>
      <c r="B30" s="7">
        <f t="shared" ref="B30:N30" si="5">SUM(B18:B29)</f>
        <v>4686.7599999999993</v>
      </c>
      <c r="C30" s="7">
        <f t="shared" si="5"/>
        <v>4686.7599999999993</v>
      </c>
      <c r="D30" s="7">
        <f t="shared" si="5"/>
        <v>4686.7599999999993</v>
      </c>
      <c r="E30" s="7">
        <f t="shared" si="5"/>
        <v>6535.0599999999995</v>
      </c>
      <c r="F30" s="7">
        <f t="shared" si="5"/>
        <v>4686.7599999999993</v>
      </c>
      <c r="G30" s="7">
        <f t="shared" si="5"/>
        <v>0</v>
      </c>
      <c r="H30" s="7">
        <f t="shared" si="5"/>
        <v>0</v>
      </c>
      <c r="I30" s="7">
        <f t="shared" si="5"/>
        <v>0</v>
      </c>
      <c r="J30" s="7">
        <f t="shared" si="5"/>
        <v>0</v>
      </c>
      <c r="K30" s="7">
        <f t="shared" si="5"/>
        <v>0</v>
      </c>
      <c r="L30" s="7">
        <f t="shared" si="5"/>
        <v>0</v>
      </c>
      <c r="M30" s="7">
        <f t="shared" si="5"/>
        <v>0</v>
      </c>
      <c r="N30" s="7">
        <f t="shared" si="5"/>
        <v>25282.100000000002</v>
      </c>
      <c r="O30" s="7">
        <f>IFERROR(N30/COUNTIF(B30:M30,"&gt;0"),0)</f>
        <v>5056.42</v>
      </c>
    </row>
    <row r="32" spans="1:15" x14ac:dyDescent="0.25">
      <c r="A32" s="3" t="s">
        <v>123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5">
      <c r="A33" t="s">
        <v>124</v>
      </c>
      <c r="B33" s="4">
        <v>508</v>
      </c>
      <c r="C33" s="4">
        <v>364</v>
      </c>
      <c r="D33" s="4">
        <v>617</v>
      </c>
      <c r="E33" s="4">
        <v>208</v>
      </c>
      <c r="F33" s="4"/>
      <c r="G33" s="4"/>
      <c r="H33" s="4"/>
      <c r="I33" s="4"/>
      <c r="J33" s="4"/>
      <c r="K33" s="4"/>
      <c r="L33" s="4"/>
      <c r="M33" s="4"/>
      <c r="N33" s="5">
        <f>SUM(B33:M33)</f>
        <v>1697</v>
      </c>
      <c r="O33" s="5">
        <f>IFERROR(AVERAGEIF(B33:M33,"&lt;&gt;0"),0)</f>
        <v>424.25</v>
      </c>
    </row>
    <row r="34" spans="1:15" x14ac:dyDescent="0.25">
      <c r="A34" t="s">
        <v>125</v>
      </c>
      <c r="B34" s="4">
        <v>190</v>
      </c>
      <c r="C34" s="4">
        <v>0</v>
      </c>
      <c r="D34" s="4">
        <v>352</v>
      </c>
      <c r="E34" s="4">
        <v>708</v>
      </c>
      <c r="F34" s="4">
        <v>194</v>
      </c>
      <c r="G34" s="4"/>
      <c r="H34" s="4"/>
      <c r="I34" s="4"/>
      <c r="J34" s="4"/>
      <c r="K34" s="4"/>
      <c r="L34" s="4"/>
      <c r="M34" s="4"/>
      <c r="N34" s="5">
        <f>SUM(B34:M34)</f>
        <v>1444</v>
      </c>
      <c r="O34" s="5">
        <f>IFERROR(AVERAGEIF(B34:M34,"&lt;&gt;0"),0)</f>
        <v>361</v>
      </c>
    </row>
    <row r="35" spans="1:15" x14ac:dyDescent="0.25">
      <c r="A35" t="s">
        <v>126</v>
      </c>
      <c r="B35" s="4"/>
      <c r="C35" s="4">
        <v>217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5">
        <f>SUM(B35:M35)</f>
        <v>217</v>
      </c>
      <c r="O35" s="5">
        <f>IFERROR(AVERAGEIF(B35:M35,"&lt;&gt;0"),0)</f>
        <v>217</v>
      </c>
    </row>
    <row r="36" spans="1:15" x14ac:dyDescent="0.25">
      <c r="A36" s="6" t="s">
        <v>127</v>
      </c>
      <c r="B36" s="7">
        <f t="shared" ref="B36:N36" si="6">SUM(B33:B35)</f>
        <v>698</v>
      </c>
      <c r="C36" s="7">
        <f t="shared" si="6"/>
        <v>581</v>
      </c>
      <c r="D36" s="7">
        <f t="shared" si="6"/>
        <v>969</v>
      </c>
      <c r="E36" s="7">
        <f t="shared" si="6"/>
        <v>916</v>
      </c>
      <c r="F36" s="7">
        <f t="shared" si="6"/>
        <v>194</v>
      </c>
      <c r="G36" s="7">
        <f t="shared" si="6"/>
        <v>0</v>
      </c>
      <c r="H36" s="7">
        <f t="shared" si="6"/>
        <v>0</v>
      </c>
      <c r="I36" s="7">
        <f t="shared" si="6"/>
        <v>0</v>
      </c>
      <c r="J36" s="7">
        <f t="shared" si="6"/>
        <v>0</v>
      </c>
      <c r="K36" s="7">
        <f t="shared" si="6"/>
        <v>0</v>
      </c>
      <c r="L36" s="7">
        <f t="shared" si="6"/>
        <v>0</v>
      </c>
      <c r="M36" s="7">
        <f t="shared" si="6"/>
        <v>0</v>
      </c>
      <c r="N36" s="7">
        <f t="shared" si="6"/>
        <v>3358</v>
      </c>
      <c r="O36" s="7">
        <f>IFERROR(N36/COUNTIF(B36:M36,"&gt;0"),0)</f>
        <v>671.6</v>
      </c>
    </row>
    <row r="38" spans="1:15" x14ac:dyDescent="0.25">
      <c r="A38" s="3" t="s">
        <v>128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t="s">
        <v>129</v>
      </c>
      <c r="B39" s="5">
        <f>'CC Detail'!B5</f>
        <v>0</v>
      </c>
      <c r="C39" s="5">
        <f>'CC Detail'!C5</f>
        <v>0</v>
      </c>
      <c r="D39" s="5">
        <f>'CC Detail'!D5</f>
        <v>0</v>
      </c>
      <c r="E39" s="5">
        <f>'CC Detail'!E5</f>
        <v>570.19000000000005</v>
      </c>
      <c r="F39" s="5">
        <f>'CC Detail'!F5</f>
        <v>215.68</v>
      </c>
      <c r="G39" s="5">
        <f>'CC Detail'!G5</f>
        <v>0</v>
      </c>
      <c r="H39" s="5">
        <f>'CC Detail'!H5</f>
        <v>0</v>
      </c>
      <c r="I39" s="5">
        <f>'CC Detail'!I5</f>
        <v>0</v>
      </c>
      <c r="J39" s="5">
        <f>'CC Detail'!J5</f>
        <v>0</v>
      </c>
      <c r="K39" s="5">
        <f>'CC Detail'!K5</f>
        <v>0</v>
      </c>
      <c r="L39" s="5">
        <f>'CC Detail'!L5</f>
        <v>0</v>
      </c>
      <c r="M39" s="5">
        <f>'CC Detail'!M5</f>
        <v>0</v>
      </c>
      <c r="N39" s="5">
        <f t="shared" ref="N39:N51" si="7">SUM(B39:M39)</f>
        <v>785.87000000000012</v>
      </c>
      <c r="O39" s="5">
        <f t="shared" ref="O39:O51" si="8">IFERROR(AVERAGEIF(B39:M39,"&lt;&gt;0"),0)</f>
        <v>392.93500000000006</v>
      </c>
    </row>
    <row r="40" spans="1:15" x14ac:dyDescent="0.25">
      <c r="A40" t="s">
        <v>130</v>
      </c>
      <c r="B40" s="5">
        <f>'CC Detail'!B6</f>
        <v>0</v>
      </c>
      <c r="C40" s="5">
        <f>'CC Detail'!C6</f>
        <v>0</v>
      </c>
      <c r="D40" s="5">
        <f>'CC Detail'!D6</f>
        <v>0</v>
      </c>
      <c r="E40" s="5">
        <f>'CC Detail'!E6</f>
        <v>297.31</v>
      </c>
      <c r="F40" s="5">
        <f>'CC Detail'!F6</f>
        <v>261.39</v>
      </c>
      <c r="G40" s="5">
        <f>'CC Detail'!G6</f>
        <v>0</v>
      </c>
      <c r="H40" s="5">
        <f>'CC Detail'!H6</f>
        <v>0</v>
      </c>
      <c r="I40" s="5">
        <f>'CC Detail'!I6</f>
        <v>0</v>
      </c>
      <c r="J40" s="5">
        <f>'CC Detail'!J6</f>
        <v>0</v>
      </c>
      <c r="K40" s="5">
        <f>'CC Detail'!K6</f>
        <v>0</v>
      </c>
      <c r="L40" s="5">
        <f>'CC Detail'!L6</f>
        <v>0</v>
      </c>
      <c r="M40" s="5">
        <f>'CC Detail'!M6</f>
        <v>0</v>
      </c>
      <c r="N40" s="5">
        <f t="shared" si="7"/>
        <v>558.70000000000005</v>
      </c>
      <c r="O40" s="5">
        <f t="shared" si="8"/>
        <v>279.35000000000002</v>
      </c>
    </row>
    <row r="41" spans="1:15" x14ac:dyDescent="0.25">
      <c r="A41" t="s">
        <v>131</v>
      </c>
      <c r="B41" s="5">
        <f>'CC Detail'!B7</f>
        <v>0</v>
      </c>
      <c r="C41" s="5">
        <f>'CC Detail'!C7</f>
        <v>0</v>
      </c>
      <c r="D41" s="5">
        <f>'CC Detail'!D7</f>
        <v>0</v>
      </c>
      <c r="E41" s="5">
        <f>'CC Detail'!E7</f>
        <v>1220.72</v>
      </c>
      <c r="F41" s="5">
        <f>'CC Detail'!F7</f>
        <v>575.15</v>
      </c>
      <c r="G41" s="5">
        <f>'CC Detail'!G7</f>
        <v>0</v>
      </c>
      <c r="H41" s="5">
        <f>'CC Detail'!H7</f>
        <v>0</v>
      </c>
      <c r="I41" s="5">
        <f>'CC Detail'!I7</f>
        <v>0</v>
      </c>
      <c r="J41" s="5">
        <f>'CC Detail'!J7</f>
        <v>0</v>
      </c>
      <c r="K41" s="5">
        <f>'CC Detail'!K7</f>
        <v>0</v>
      </c>
      <c r="L41" s="5">
        <f>'CC Detail'!L7</f>
        <v>0</v>
      </c>
      <c r="M41" s="5">
        <f>'CC Detail'!M7</f>
        <v>0</v>
      </c>
      <c r="N41" s="5">
        <f t="shared" si="7"/>
        <v>1795.87</v>
      </c>
      <c r="O41" s="5">
        <f t="shared" si="8"/>
        <v>897.93499999999995</v>
      </c>
    </row>
    <row r="42" spans="1:15" x14ac:dyDescent="0.25">
      <c r="A42" t="s">
        <v>132</v>
      </c>
      <c r="B42" s="5">
        <f>'CC Detail'!B8</f>
        <v>0</v>
      </c>
      <c r="C42" s="5">
        <f>'CC Detail'!C8</f>
        <v>0</v>
      </c>
      <c r="D42" s="5">
        <f>'CC Detail'!D8</f>
        <v>0</v>
      </c>
      <c r="E42" s="5">
        <f>'CC Detail'!E8</f>
        <v>300.01</v>
      </c>
      <c r="F42" s="5">
        <f>'CC Detail'!F8</f>
        <v>153.07</v>
      </c>
      <c r="G42" s="5">
        <f>'CC Detail'!G8</f>
        <v>0</v>
      </c>
      <c r="H42" s="5">
        <f>'CC Detail'!H8</f>
        <v>0</v>
      </c>
      <c r="I42" s="5">
        <f>'CC Detail'!I8</f>
        <v>0</v>
      </c>
      <c r="J42" s="5">
        <f>'CC Detail'!J8</f>
        <v>0</v>
      </c>
      <c r="K42" s="5">
        <f>'CC Detail'!K8</f>
        <v>0</v>
      </c>
      <c r="L42" s="5">
        <f>'CC Detail'!L8</f>
        <v>0</v>
      </c>
      <c r="M42" s="5">
        <f>'CC Detail'!M8</f>
        <v>0</v>
      </c>
      <c r="N42" s="5">
        <f t="shared" si="7"/>
        <v>453.08</v>
      </c>
      <c r="O42" s="5">
        <f t="shared" si="8"/>
        <v>226.54</v>
      </c>
    </row>
    <row r="43" spans="1:15" x14ac:dyDescent="0.25">
      <c r="A43" t="s">
        <v>133</v>
      </c>
      <c r="B43" s="5">
        <f>'CC Detail'!B9</f>
        <v>0</v>
      </c>
      <c r="C43" s="5">
        <f>'CC Detail'!C9</f>
        <v>0</v>
      </c>
      <c r="D43" s="5">
        <f>'CC Detail'!D9</f>
        <v>0</v>
      </c>
      <c r="E43" s="5">
        <f>'CC Detail'!E9</f>
        <v>450.32</v>
      </c>
      <c r="F43" s="5">
        <f>'CC Detail'!F9</f>
        <v>611.24</v>
      </c>
      <c r="G43" s="5">
        <f>'CC Detail'!G9</f>
        <v>0</v>
      </c>
      <c r="H43" s="5">
        <f>'CC Detail'!H9</f>
        <v>0</v>
      </c>
      <c r="I43" s="5">
        <f>'CC Detail'!I9</f>
        <v>0</v>
      </c>
      <c r="J43" s="5">
        <f>'CC Detail'!J9</f>
        <v>0</v>
      </c>
      <c r="K43" s="5">
        <f>'CC Detail'!K9</f>
        <v>0</v>
      </c>
      <c r="L43" s="5">
        <f>'CC Detail'!L9</f>
        <v>0</v>
      </c>
      <c r="M43" s="5">
        <f>'CC Detail'!M9</f>
        <v>0</v>
      </c>
      <c r="N43" s="5">
        <f t="shared" si="7"/>
        <v>1061.56</v>
      </c>
      <c r="O43" s="5">
        <f t="shared" si="8"/>
        <v>530.78</v>
      </c>
    </row>
    <row r="44" spans="1:15" x14ac:dyDescent="0.25">
      <c r="A44" t="s">
        <v>134</v>
      </c>
      <c r="B44" s="5">
        <f>'CC Detail'!B10</f>
        <v>0</v>
      </c>
      <c r="C44" s="5">
        <f>'CC Detail'!C10</f>
        <v>0</v>
      </c>
      <c r="D44" s="5">
        <f>'CC Detail'!D10</f>
        <v>0</v>
      </c>
      <c r="E44" s="5">
        <f>'CC Detail'!E10</f>
        <v>769.52</v>
      </c>
      <c r="F44" s="5">
        <f>'CC Detail'!F10</f>
        <v>0</v>
      </c>
      <c r="G44" s="5">
        <f>'CC Detail'!G10</f>
        <v>0</v>
      </c>
      <c r="H44" s="5">
        <f>'CC Detail'!H10</f>
        <v>0</v>
      </c>
      <c r="I44" s="5">
        <f>'CC Detail'!I10</f>
        <v>0</v>
      </c>
      <c r="J44" s="5">
        <f>'CC Detail'!J10</f>
        <v>0</v>
      </c>
      <c r="K44" s="5">
        <f>'CC Detail'!K10</f>
        <v>0</v>
      </c>
      <c r="L44" s="5">
        <f>'CC Detail'!L10</f>
        <v>0</v>
      </c>
      <c r="M44" s="5">
        <f>'CC Detail'!M10</f>
        <v>0</v>
      </c>
      <c r="N44" s="5">
        <f t="shared" si="7"/>
        <v>769.52</v>
      </c>
      <c r="O44" s="5">
        <f t="shared" si="8"/>
        <v>769.52</v>
      </c>
    </row>
    <row r="45" spans="1:15" x14ac:dyDescent="0.25">
      <c r="A45" t="s">
        <v>135</v>
      </c>
      <c r="B45" s="5">
        <f>'CC Detail'!B11</f>
        <v>0</v>
      </c>
      <c r="C45" s="5">
        <f>'CC Detail'!C11</f>
        <v>0</v>
      </c>
      <c r="D45" s="5">
        <f>'CC Detail'!D11</f>
        <v>0</v>
      </c>
      <c r="E45" s="5">
        <f>'CC Detail'!E11</f>
        <v>96.53</v>
      </c>
      <c r="F45" s="5">
        <f>'CC Detail'!F11</f>
        <v>335.47</v>
      </c>
      <c r="G45" s="5">
        <f>'CC Detail'!G11</f>
        <v>0</v>
      </c>
      <c r="H45" s="5">
        <f>'CC Detail'!H11</f>
        <v>0</v>
      </c>
      <c r="I45" s="5">
        <f>'CC Detail'!I11</f>
        <v>0</v>
      </c>
      <c r="J45" s="5">
        <f>'CC Detail'!J11</f>
        <v>0</v>
      </c>
      <c r="K45" s="5">
        <f>'CC Detail'!K11</f>
        <v>0</v>
      </c>
      <c r="L45" s="5">
        <f>'CC Detail'!L11</f>
        <v>0</v>
      </c>
      <c r="M45" s="5">
        <f>'CC Detail'!M11</f>
        <v>0</v>
      </c>
      <c r="N45" s="5">
        <f t="shared" si="7"/>
        <v>432</v>
      </c>
      <c r="O45" s="5">
        <f t="shared" si="8"/>
        <v>216</v>
      </c>
    </row>
    <row r="46" spans="1:15" x14ac:dyDescent="0.25">
      <c r="A46" t="s">
        <v>136</v>
      </c>
      <c r="B46" s="5">
        <f>'CC Detail'!B12</f>
        <v>0</v>
      </c>
      <c r="C46" s="5">
        <f>'CC Detail'!C12</f>
        <v>0</v>
      </c>
      <c r="D46" s="5">
        <f>'CC Detail'!D12</f>
        <v>0</v>
      </c>
      <c r="E46" s="5">
        <f>'CC Detail'!E12</f>
        <v>58.71</v>
      </c>
      <c r="F46" s="5">
        <f>'CC Detail'!F12</f>
        <v>8.7200000000000006</v>
      </c>
      <c r="G46" s="5">
        <f>'CC Detail'!G12</f>
        <v>0</v>
      </c>
      <c r="H46" s="5">
        <f>'CC Detail'!H12</f>
        <v>0</v>
      </c>
      <c r="I46" s="5">
        <f>'CC Detail'!I12</f>
        <v>0</v>
      </c>
      <c r="J46" s="5">
        <f>'CC Detail'!J12</f>
        <v>0</v>
      </c>
      <c r="K46" s="5">
        <f>'CC Detail'!K12</f>
        <v>0</v>
      </c>
      <c r="L46" s="5">
        <f>'CC Detail'!L12</f>
        <v>0</v>
      </c>
      <c r="M46" s="5">
        <f>'CC Detail'!M12</f>
        <v>0</v>
      </c>
      <c r="N46" s="5">
        <f t="shared" si="7"/>
        <v>67.430000000000007</v>
      </c>
      <c r="O46" s="5">
        <f t="shared" si="8"/>
        <v>33.715000000000003</v>
      </c>
    </row>
    <row r="47" spans="1:15" x14ac:dyDescent="0.25">
      <c r="A47" t="s">
        <v>137</v>
      </c>
      <c r="B47" s="5">
        <f>'CC Detail'!B13</f>
        <v>0</v>
      </c>
      <c r="C47" s="5">
        <f>'CC Detail'!C13</f>
        <v>0</v>
      </c>
      <c r="D47" s="5">
        <f>'CC Detail'!D13</f>
        <v>0</v>
      </c>
      <c r="E47" s="5">
        <f>'CC Detail'!E13</f>
        <v>184.42</v>
      </c>
      <c r="F47" s="5">
        <f>'CC Detail'!F13</f>
        <v>186.2</v>
      </c>
      <c r="G47" s="5">
        <f>'CC Detail'!G13</f>
        <v>0</v>
      </c>
      <c r="H47" s="5">
        <f>'CC Detail'!H13</f>
        <v>0</v>
      </c>
      <c r="I47" s="5">
        <f>'CC Detail'!I13</f>
        <v>0</v>
      </c>
      <c r="J47" s="5">
        <f>'CC Detail'!J13</f>
        <v>0</v>
      </c>
      <c r="K47" s="5">
        <f>'CC Detail'!K13</f>
        <v>0</v>
      </c>
      <c r="L47" s="5">
        <f>'CC Detail'!L13</f>
        <v>0</v>
      </c>
      <c r="M47" s="5">
        <f>'CC Detail'!M13</f>
        <v>0</v>
      </c>
      <c r="N47" s="5">
        <f t="shared" si="7"/>
        <v>370.62</v>
      </c>
      <c r="O47" s="5">
        <f t="shared" si="8"/>
        <v>185.31</v>
      </c>
    </row>
    <row r="48" spans="1:15" x14ac:dyDescent="0.25">
      <c r="A48" t="s">
        <v>138</v>
      </c>
      <c r="B48" s="5">
        <f>'CC Detail'!B14</f>
        <v>0</v>
      </c>
      <c r="C48" s="5">
        <f>'CC Detail'!C14</f>
        <v>0</v>
      </c>
      <c r="D48" s="5">
        <f>'CC Detail'!D14</f>
        <v>0</v>
      </c>
      <c r="E48" s="5">
        <f>'CC Detail'!E14</f>
        <v>482.16</v>
      </c>
      <c r="F48" s="5">
        <f>'CC Detail'!F14</f>
        <v>356.25</v>
      </c>
      <c r="G48" s="5">
        <f>'CC Detail'!G14</f>
        <v>0</v>
      </c>
      <c r="H48" s="5">
        <f>'CC Detail'!H14</f>
        <v>0</v>
      </c>
      <c r="I48" s="5">
        <f>'CC Detail'!I14</f>
        <v>0</v>
      </c>
      <c r="J48" s="5">
        <f>'CC Detail'!J14</f>
        <v>0</v>
      </c>
      <c r="K48" s="5">
        <f>'CC Detail'!K14</f>
        <v>0</v>
      </c>
      <c r="L48" s="5">
        <f>'CC Detail'!L14</f>
        <v>0</v>
      </c>
      <c r="M48" s="5">
        <f>'CC Detail'!M14</f>
        <v>0</v>
      </c>
      <c r="N48" s="5">
        <f t="shared" si="7"/>
        <v>838.41000000000008</v>
      </c>
      <c r="O48" s="5">
        <f t="shared" si="8"/>
        <v>419.20500000000004</v>
      </c>
    </row>
    <row r="49" spans="1:15" x14ac:dyDescent="0.25">
      <c r="A49" t="s">
        <v>139</v>
      </c>
      <c r="B49" s="5">
        <f>'CC Detail'!B15</f>
        <v>0</v>
      </c>
      <c r="C49" s="5">
        <f>'CC Detail'!C15</f>
        <v>0</v>
      </c>
      <c r="D49" s="5">
        <f>'CC Detail'!D15</f>
        <v>0</v>
      </c>
      <c r="E49" s="5">
        <f>'CC Detail'!E15</f>
        <v>490</v>
      </c>
      <c r="F49" s="5">
        <f>'CC Detail'!F15</f>
        <v>0</v>
      </c>
      <c r="G49" s="5">
        <f>'CC Detail'!G15</f>
        <v>0</v>
      </c>
      <c r="H49" s="5">
        <f>'CC Detail'!H15</f>
        <v>0</v>
      </c>
      <c r="I49" s="5">
        <f>'CC Detail'!I15</f>
        <v>0</v>
      </c>
      <c r="J49" s="5">
        <f>'CC Detail'!J15</f>
        <v>0</v>
      </c>
      <c r="K49" s="5">
        <f>'CC Detail'!K15</f>
        <v>0</v>
      </c>
      <c r="L49" s="5">
        <f>'CC Detail'!L15</f>
        <v>0</v>
      </c>
      <c r="M49" s="5">
        <f>'CC Detail'!M15</f>
        <v>0</v>
      </c>
      <c r="N49" s="5">
        <f t="shared" si="7"/>
        <v>490</v>
      </c>
      <c r="O49" s="5">
        <f t="shared" si="8"/>
        <v>490</v>
      </c>
    </row>
    <row r="50" spans="1:15" x14ac:dyDescent="0.25">
      <c r="A50" t="s">
        <v>140</v>
      </c>
      <c r="B50" s="5">
        <f>'CC Detail'!B16</f>
        <v>0</v>
      </c>
      <c r="C50" s="5">
        <f>'CC Detail'!C16</f>
        <v>0</v>
      </c>
      <c r="D50" s="5">
        <f>'CC Detail'!D16</f>
        <v>0</v>
      </c>
      <c r="E50" s="5">
        <f>'CC Detail'!E16</f>
        <v>0</v>
      </c>
      <c r="F50" s="5">
        <f>'CC Detail'!F16</f>
        <v>300</v>
      </c>
      <c r="G50" s="5">
        <f>'CC Detail'!G16</f>
        <v>0</v>
      </c>
      <c r="H50" s="5">
        <f>'CC Detail'!H16</f>
        <v>0</v>
      </c>
      <c r="I50" s="5">
        <f>'CC Detail'!I16</f>
        <v>0</v>
      </c>
      <c r="J50" s="5">
        <f>'CC Detail'!J16</f>
        <v>0</v>
      </c>
      <c r="K50" s="5">
        <f>'CC Detail'!K16</f>
        <v>0</v>
      </c>
      <c r="L50" s="5">
        <f>'CC Detail'!L16</f>
        <v>0</v>
      </c>
      <c r="M50" s="5">
        <f>'CC Detail'!M16</f>
        <v>0</v>
      </c>
      <c r="N50" s="5">
        <f t="shared" si="7"/>
        <v>300</v>
      </c>
      <c r="O50" s="5">
        <f t="shared" si="8"/>
        <v>300</v>
      </c>
    </row>
    <row r="51" spans="1:15" x14ac:dyDescent="0.25">
      <c r="A51" t="s">
        <v>141</v>
      </c>
      <c r="B51" s="5">
        <f>'CC Detail'!B17</f>
        <v>0</v>
      </c>
      <c r="C51" s="5">
        <f>'CC Detail'!C17</f>
        <v>0</v>
      </c>
      <c r="D51" s="5">
        <f>'CC Detail'!D17</f>
        <v>0</v>
      </c>
      <c r="E51" s="5">
        <f>'CC Detail'!E17</f>
        <v>0</v>
      </c>
      <c r="F51" s="5">
        <f>'CC Detail'!F17</f>
        <v>0</v>
      </c>
      <c r="G51" s="5">
        <f>'CC Detail'!G17</f>
        <v>0</v>
      </c>
      <c r="H51" s="5">
        <f>'CC Detail'!H17</f>
        <v>0</v>
      </c>
      <c r="I51" s="5">
        <f>'CC Detail'!I17</f>
        <v>0</v>
      </c>
      <c r="J51" s="5">
        <f>'CC Detail'!J17</f>
        <v>0</v>
      </c>
      <c r="K51" s="5">
        <f>'CC Detail'!K17</f>
        <v>0</v>
      </c>
      <c r="L51" s="5">
        <f>'CC Detail'!L17</f>
        <v>0</v>
      </c>
      <c r="M51" s="5">
        <f>'CC Detail'!M17</f>
        <v>0</v>
      </c>
      <c r="N51" s="5">
        <f t="shared" si="7"/>
        <v>0</v>
      </c>
      <c r="O51" s="5">
        <f t="shared" si="8"/>
        <v>0</v>
      </c>
    </row>
    <row r="52" spans="1:15" x14ac:dyDescent="0.25">
      <c r="A52" s="6" t="s">
        <v>142</v>
      </c>
      <c r="B52" s="7">
        <f t="shared" ref="B52:N52" si="9">SUM(B39:B51)</f>
        <v>0</v>
      </c>
      <c r="C52" s="7">
        <f t="shared" si="9"/>
        <v>0</v>
      </c>
      <c r="D52" s="7">
        <f t="shared" si="9"/>
        <v>0</v>
      </c>
      <c r="E52" s="7">
        <f t="shared" si="9"/>
        <v>4919.8900000000012</v>
      </c>
      <c r="F52" s="7">
        <f t="shared" si="9"/>
        <v>3003.1699999999996</v>
      </c>
      <c r="G52" s="7">
        <f t="shared" si="9"/>
        <v>0</v>
      </c>
      <c r="H52" s="7">
        <f t="shared" si="9"/>
        <v>0</v>
      </c>
      <c r="I52" s="7">
        <f t="shared" si="9"/>
        <v>0</v>
      </c>
      <c r="J52" s="7">
        <f t="shared" si="9"/>
        <v>0</v>
      </c>
      <c r="K52" s="7">
        <f t="shared" si="9"/>
        <v>0</v>
      </c>
      <c r="L52" s="7">
        <f t="shared" si="9"/>
        <v>0</v>
      </c>
      <c r="M52" s="7">
        <f t="shared" si="9"/>
        <v>0</v>
      </c>
      <c r="N52" s="7">
        <f t="shared" si="9"/>
        <v>7923.06</v>
      </c>
      <c r="O52" s="7">
        <f>IFERROR(N52/COUNTIF(B52:M52,"&gt;0"),0)</f>
        <v>3961.53</v>
      </c>
    </row>
    <row r="54" spans="1:15" x14ac:dyDescent="0.25">
      <c r="A54" s="3" t="s">
        <v>143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x14ac:dyDescent="0.25">
      <c r="A55" t="s">
        <v>144</v>
      </c>
      <c r="B55" s="5">
        <f>'Solar ROI'!B5</f>
        <v>0</v>
      </c>
      <c r="C55" s="5">
        <f>'Solar ROI'!C5</f>
        <v>0</v>
      </c>
      <c r="D55" s="5">
        <f>'Solar ROI'!D5</f>
        <v>26318</v>
      </c>
      <c r="E55" s="5">
        <f>'Solar ROI'!E5</f>
        <v>0</v>
      </c>
      <c r="F55" s="5">
        <f>'Solar ROI'!F5</f>
        <v>2000</v>
      </c>
      <c r="G55" s="5">
        <f>'Solar ROI'!G5</f>
        <v>0</v>
      </c>
      <c r="H55" s="5">
        <f>'Solar ROI'!H5</f>
        <v>0</v>
      </c>
      <c r="I55" s="5">
        <f>'Solar ROI'!I5</f>
        <v>0</v>
      </c>
      <c r="J55" s="5">
        <f>'Solar ROI'!J5</f>
        <v>0</v>
      </c>
      <c r="K55" s="5">
        <f>'Solar ROI'!K5</f>
        <v>0</v>
      </c>
      <c r="L55" s="5">
        <f>'Solar ROI'!L5</f>
        <v>0</v>
      </c>
      <c r="M55" s="5">
        <f>'Solar ROI'!M5</f>
        <v>0</v>
      </c>
      <c r="N55" s="5">
        <f>SUM(B55:M55)</f>
        <v>28318</v>
      </c>
      <c r="O55" s="5">
        <f>IFERROR(N55/COUNTIF(B55:M55,"&gt;0"),0)</f>
        <v>14159</v>
      </c>
    </row>
    <row r="56" spans="1:15" x14ac:dyDescent="0.25">
      <c r="A56" t="s">
        <v>145</v>
      </c>
      <c r="B56" s="4"/>
      <c r="C56" s="4"/>
      <c r="D56" s="4"/>
      <c r="E56" s="4">
        <v>3169</v>
      </c>
      <c r="F56" s="4"/>
      <c r="G56" s="4"/>
      <c r="H56" s="4"/>
      <c r="I56" s="4"/>
      <c r="J56" s="4"/>
      <c r="K56" s="4"/>
      <c r="L56" s="4"/>
      <c r="M56" s="4"/>
      <c r="N56" s="5">
        <f>SUM(B56:M56)</f>
        <v>3169</v>
      </c>
      <c r="O56" s="5">
        <f>IFERROR(AVERAGEIF(B56:M56,"&lt;&gt;0"),0)</f>
        <v>3169</v>
      </c>
    </row>
    <row r="57" spans="1:15" x14ac:dyDescent="0.25">
      <c r="A57" t="s">
        <v>146</v>
      </c>
      <c r="B57" s="4"/>
      <c r="C57" s="4"/>
      <c r="D57" s="4"/>
      <c r="E57" s="4">
        <v>152</v>
      </c>
      <c r="F57" s="4"/>
      <c r="G57" s="4"/>
      <c r="H57" s="4"/>
      <c r="I57" s="4"/>
      <c r="J57" s="4"/>
      <c r="K57" s="4"/>
      <c r="L57" s="4"/>
      <c r="M57" s="4"/>
      <c r="N57" s="5">
        <f>SUM(B57:M57)</f>
        <v>152</v>
      </c>
      <c r="O57" s="5">
        <f>IFERROR(AVERAGEIF(B57:M57,"&lt;&gt;0"),0)</f>
        <v>152</v>
      </c>
    </row>
    <row r="58" spans="1:15" x14ac:dyDescent="0.25">
      <c r="A58" t="s">
        <v>147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5">
        <f>SUM(B58:M58)</f>
        <v>0</v>
      </c>
      <c r="O58" s="5">
        <f>IFERROR(AVERAGEIF(B58:M58,"&lt;&gt;0"),0)</f>
        <v>0</v>
      </c>
    </row>
    <row r="59" spans="1:15" x14ac:dyDescent="0.25">
      <c r="A59" s="6" t="s">
        <v>148</v>
      </c>
      <c r="B59" s="7">
        <f t="shared" ref="B59:N59" si="10">SUM(B55:B58)</f>
        <v>0</v>
      </c>
      <c r="C59" s="7">
        <f t="shared" si="10"/>
        <v>0</v>
      </c>
      <c r="D59" s="7">
        <f t="shared" si="10"/>
        <v>26318</v>
      </c>
      <c r="E59" s="7">
        <f t="shared" si="10"/>
        <v>3321</v>
      </c>
      <c r="F59" s="7">
        <f t="shared" si="10"/>
        <v>2000</v>
      </c>
      <c r="G59" s="7">
        <f t="shared" si="10"/>
        <v>0</v>
      </c>
      <c r="H59" s="7">
        <f t="shared" si="10"/>
        <v>0</v>
      </c>
      <c r="I59" s="7">
        <f t="shared" si="10"/>
        <v>0</v>
      </c>
      <c r="J59" s="7">
        <f t="shared" si="10"/>
        <v>0</v>
      </c>
      <c r="K59" s="7">
        <f t="shared" si="10"/>
        <v>0</v>
      </c>
      <c r="L59" s="7">
        <f t="shared" si="10"/>
        <v>0</v>
      </c>
      <c r="M59" s="7">
        <f t="shared" si="10"/>
        <v>0</v>
      </c>
      <c r="N59" s="7">
        <f t="shared" si="10"/>
        <v>31639</v>
      </c>
      <c r="O59" s="7">
        <f>IFERROR(N59/COUNTIF(B59:M59,"&gt;0"),0)</f>
        <v>10546.333333333334</v>
      </c>
    </row>
    <row r="61" spans="1:15" x14ac:dyDescent="0.25">
      <c r="A61" s="6" t="s">
        <v>149</v>
      </c>
      <c r="B61" s="7">
        <f t="shared" ref="B61:N61" si="11">B30+B36+B52+B59</f>
        <v>5384.7599999999993</v>
      </c>
      <c r="C61" s="7">
        <f t="shared" si="11"/>
        <v>5267.7599999999993</v>
      </c>
      <c r="D61" s="7">
        <f t="shared" si="11"/>
        <v>31973.759999999998</v>
      </c>
      <c r="E61" s="7">
        <f t="shared" si="11"/>
        <v>15691.95</v>
      </c>
      <c r="F61" s="7">
        <f t="shared" si="11"/>
        <v>9883.9299999999985</v>
      </c>
      <c r="G61" s="7">
        <f t="shared" si="11"/>
        <v>0</v>
      </c>
      <c r="H61" s="7">
        <f t="shared" si="11"/>
        <v>0</v>
      </c>
      <c r="I61" s="7">
        <f t="shared" si="11"/>
        <v>0</v>
      </c>
      <c r="J61" s="7">
        <f t="shared" si="11"/>
        <v>0</v>
      </c>
      <c r="K61" s="7">
        <f t="shared" si="11"/>
        <v>0</v>
      </c>
      <c r="L61" s="7">
        <f t="shared" si="11"/>
        <v>0</v>
      </c>
      <c r="M61" s="7">
        <f t="shared" si="11"/>
        <v>0</v>
      </c>
      <c r="N61" s="7">
        <f t="shared" si="11"/>
        <v>68202.16</v>
      </c>
      <c r="O61" s="7"/>
    </row>
    <row r="63" spans="1:15" x14ac:dyDescent="0.25">
      <c r="A63" s="6" t="s">
        <v>150</v>
      </c>
      <c r="B63" s="7">
        <f t="shared" ref="B63:N63" si="12">B15-B61</f>
        <v>6435.2400000000007</v>
      </c>
      <c r="C63" s="7">
        <f t="shared" si="12"/>
        <v>7359.2400000000007</v>
      </c>
      <c r="D63" s="7">
        <f t="shared" si="12"/>
        <v>-21467.759999999998</v>
      </c>
      <c r="E63" s="7">
        <f t="shared" si="12"/>
        <v>2182.0499999999993</v>
      </c>
      <c r="F63" s="7">
        <f t="shared" si="12"/>
        <v>-9883.9299999999985</v>
      </c>
      <c r="G63" s="7">
        <f t="shared" si="12"/>
        <v>0</v>
      </c>
      <c r="H63" s="7">
        <f t="shared" si="12"/>
        <v>0</v>
      </c>
      <c r="I63" s="7">
        <f t="shared" si="12"/>
        <v>0</v>
      </c>
      <c r="J63" s="7">
        <f t="shared" si="12"/>
        <v>0</v>
      </c>
      <c r="K63" s="7">
        <f t="shared" si="12"/>
        <v>0</v>
      </c>
      <c r="L63" s="7">
        <f t="shared" si="12"/>
        <v>0</v>
      </c>
      <c r="M63" s="7">
        <f t="shared" si="12"/>
        <v>0</v>
      </c>
      <c r="N63" s="7">
        <f t="shared" si="12"/>
        <v>-15375.160000000003</v>
      </c>
      <c r="O63" s="7"/>
    </row>
    <row r="65" spans="1:15" x14ac:dyDescent="0.25">
      <c r="A65" s="3" t="s">
        <v>151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x14ac:dyDescent="0.25">
      <c r="A66" t="s">
        <v>152</v>
      </c>
      <c r="B66" s="4"/>
      <c r="C66" s="5">
        <f t="shared" ref="C66:M66" si="13">B69</f>
        <v>-6435.2400000000007</v>
      </c>
      <c r="D66" s="5">
        <f t="shared" si="13"/>
        <v>-924</v>
      </c>
      <c r="E66" s="5">
        <f t="shared" si="13"/>
        <v>22391.759999999998</v>
      </c>
      <c r="F66" s="5">
        <f t="shared" si="13"/>
        <v>-24573.809999999998</v>
      </c>
      <c r="G66" s="5">
        <f t="shared" si="13"/>
        <v>34457.74</v>
      </c>
      <c r="H66" s="5">
        <f t="shared" si="13"/>
        <v>-34457.74</v>
      </c>
      <c r="I66" s="5">
        <f t="shared" si="13"/>
        <v>34457.74</v>
      </c>
      <c r="J66" s="5">
        <f t="shared" si="13"/>
        <v>-34457.74</v>
      </c>
      <c r="K66" s="5">
        <f t="shared" si="13"/>
        <v>34457.74</v>
      </c>
      <c r="L66" s="5">
        <f t="shared" si="13"/>
        <v>-34457.74</v>
      </c>
      <c r="M66" s="5">
        <f t="shared" si="13"/>
        <v>34457.74</v>
      </c>
      <c r="N66" s="5"/>
      <c r="O66" s="5"/>
    </row>
    <row r="67" spans="1:15" x14ac:dyDescent="0.25">
      <c r="A67" t="s">
        <v>153</v>
      </c>
      <c r="B67" s="5">
        <f t="shared" ref="B67:M67" si="14">B66+B63</f>
        <v>6435.2400000000007</v>
      </c>
      <c r="C67" s="5">
        <f t="shared" si="14"/>
        <v>924</v>
      </c>
      <c r="D67" s="5">
        <f t="shared" si="14"/>
        <v>-22391.759999999998</v>
      </c>
      <c r="E67" s="5">
        <f t="shared" si="14"/>
        <v>24573.809999999998</v>
      </c>
      <c r="F67" s="5">
        <f t="shared" si="14"/>
        <v>-34457.74</v>
      </c>
      <c r="G67" s="5">
        <f t="shared" si="14"/>
        <v>34457.74</v>
      </c>
      <c r="H67" s="5">
        <f t="shared" si="14"/>
        <v>-34457.74</v>
      </c>
      <c r="I67" s="5">
        <f t="shared" si="14"/>
        <v>34457.74</v>
      </c>
      <c r="J67" s="5">
        <f t="shared" si="14"/>
        <v>-34457.74</v>
      </c>
      <c r="K67" s="5">
        <f t="shared" si="14"/>
        <v>34457.74</v>
      </c>
      <c r="L67" s="5">
        <f t="shared" si="14"/>
        <v>-34457.74</v>
      </c>
      <c r="M67" s="5">
        <f t="shared" si="14"/>
        <v>34457.74</v>
      </c>
      <c r="N67" s="5"/>
      <c r="O67" s="5"/>
    </row>
    <row r="68" spans="1:15" x14ac:dyDescent="0.25">
      <c r="A68" t="s">
        <v>154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5"/>
      <c r="O68" s="5"/>
    </row>
    <row r="69" spans="1:15" x14ac:dyDescent="0.25">
      <c r="A69" s="6" t="s">
        <v>155</v>
      </c>
      <c r="B69" s="7">
        <f t="shared" ref="B69:M69" si="15">B68-B67</f>
        <v>-6435.2400000000007</v>
      </c>
      <c r="C69" s="7">
        <f t="shared" si="15"/>
        <v>-924</v>
      </c>
      <c r="D69" s="7">
        <f t="shared" si="15"/>
        <v>22391.759999999998</v>
      </c>
      <c r="E69" s="7">
        <f t="shared" si="15"/>
        <v>-24573.809999999998</v>
      </c>
      <c r="F69" s="7">
        <f t="shared" si="15"/>
        <v>34457.74</v>
      </c>
      <c r="G69" s="7">
        <f t="shared" si="15"/>
        <v>-34457.74</v>
      </c>
      <c r="H69" s="7">
        <f t="shared" si="15"/>
        <v>34457.74</v>
      </c>
      <c r="I69" s="7">
        <f t="shared" si="15"/>
        <v>-34457.74</v>
      </c>
      <c r="J69" s="7">
        <f t="shared" si="15"/>
        <v>34457.74</v>
      </c>
      <c r="K69" s="7">
        <f t="shared" si="15"/>
        <v>-34457.74</v>
      </c>
      <c r="L69" s="7">
        <f t="shared" si="15"/>
        <v>34457.74</v>
      </c>
      <c r="M69" s="7">
        <f t="shared" si="15"/>
        <v>-34457.74</v>
      </c>
      <c r="N69" s="7"/>
      <c r="O69" s="7"/>
    </row>
  </sheetData>
  <mergeCells count="2">
    <mergeCell ref="A1:O1"/>
    <mergeCell ref="A2:O2"/>
  </mergeCells>
  <conditionalFormatting sqref="B69:M69">
    <cfRule type="cellIs" dxfId="7" priority="3" operator="greaterThan">
      <formula>50</formula>
    </cfRule>
    <cfRule type="cellIs" dxfId="6" priority="4" operator="lessThan">
      <formula>-50</formula>
    </cfRule>
  </conditionalFormatting>
  <conditionalFormatting sqref="B63:N63">
    <cfRule type="cellIs" dxfId="5" priority="1" operator="lessThan">
      <formula>0</formula>
    </cfRule>
    <cfRule type="cellIs" dxfId="4" priority="2" operator="greaterThanOrEqual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8" customWidth="1"/>
    <col min="2" max="14" width="11" customWidth="1"/>
  </cols>
  <sheetData>
    <row r="1" spans="1:14" ht="18.75" x14ac:dyDescent="0.3">
      <c r="A1" s="22" t="s">
        <v>156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x14ac:dyDescent="0.25">
      <c r="A2" s="21" t="s">
        <v>157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4" spans="1:14" x14ac:dyDescent="0.25">
      <c r="A4" s="2" t="s">
        <v>84</v>
      </c>
      <c r="B4" s="2" t="s">
        <v>85</v>
      </c>
      <c r="C4" s="2" t="s">
        <v>86</v>
      </c>
      <c r="D4" s="2" t="s">
        <v>87</v>
      </c>
      <c r="E4" s="2" t="s">
        <v>88</v>
      </c>
      <c r="F4" s="2" t="s">
        <v>89</v>
      </c>
      <c r="G4" s="2" t="s">
        <v>90</v>
      </c>
      <c r="H4" s="2" t="s">
        <v>91</v>
      </c>
      <c r="I4" s="2" t="s">
        <v>92</v>
      </c>
      <c r="J4" s="2" t="s">
        <v>93</v>
      </c>
      <c r="K4" s="2" t="s">
        <v>94</v>
      </c>
      <c r="L4" s="2" t="s">
        <v>95</v>
      </c>
      <c r="M4" s="2" t="s">
        <v>96</v>
      </c>
      <c r="N4" s="2" t="s">
        <v>158</v>
      </c>
    </row>
    <row r="5" spans="1:14" x14ac:dyDescent="0.25">
      <c r="A5" t="s">
        <v>159</v>
      </c>
      <c r="B5" s="5"/>
      <c r="C5" s="5"/>
      <c r="D5" s="5"/>
      <c r="E5" s="5">
        <v>570.19000000000005</v>
      </c>
      <c r="F5" s="5">
        <v>215.68</v>
      </c>
      <c r="G5" s="5"/>
      <c r="H5" s="5"/>
      <c r="I5" s="5"/>
      <c r="J5" s="5"/>
      <c r="K5" s="5"/>
      <c r="L5" s="5"/>
      <c r="M5" s="5"/>
      <c r="N5" s="5">
        <f t="shared" ref="N5:N17" si="0">SUM(B5:M5)</f>
        <v>785.87000000000012</v>
      </c>
    </row>
    <row r="6" spans="1:14" x14ac:dyDescent="0.25">
      <c r="A6" t="s">
        <v>160</v>
      </c>
      <c r="B6" s="5"/>
      <c r="C6" s="5"/>
      <c r="D6" s="5"/>
      <c r="E6" s="5">
        <v>297.31</v>
      </c>
      <c r="F6" s="5">
        <v>261.39</v>
      </c>
      <c r="G6" s="5"/>
      <c r="H6" s="5"/>
      <c r="I6" s="5"/>
      <c r="J6" s="5"/>
      <c r="K6" s="5"/>
      <c r="L6" s="5"/>
      <c r="M6" s="5"/>
      <c r="N6" s="5">
        <f t="shared" si="0"/>
        <v>558.70000000000005</v>
      </c>
    </row>
    <row r="7" spans="1:14" x14ac:dyDescent="0.25">
      <c r="A7" t="s">
        <v>161</v>
      </c>
      <c r="B7" s="5"/>
      <c r="C7" s="5"/>
      <c r="D7" s="5"/>
      <c r="E7" s="5">
        <v>1220.72</v>
      </c>
      <c r="F7" s="5">
        <v>575.15</v>
      </c>
      <c r="G7" s="5"/>
      <c r="H7" s="5"/>
      <c r="I7" s="5"/>
      <c r="J7" s="5"/>
      <c r="K7" s="5"/>
      <c r="L7" s="5"/>
      <c r="M7" s="5"/>
      <c r="N7" s="5">
        <f t="shared" si="0"/>
        <v>1795.87</v>
      </c>
    </row>
    <row r="8" spans="1:14" x14ac:dyDescent="0.25">
      <c r="A8" t="s">
        <v>162</v>
      </c>
      <c r="B8" s="5"/>
      <c r="C8" s="5"/>
      <c r="D8" s="5"/>
      <c r="E8" s="5">
        <v>300.01</v>
      </c>
      <c r="F8" s="5">
        <v>153.07</v>
      </c>
      <c r="G8" s="5"/>
      <c r="H8" s="5"/>
      <c r="I8" s="5"/>
      <c r="J8" s="5"/>
      <c r="K8" s="5"/>
      <c r="L8" s="5"/>
      <c r="M8" s="5"/>
      <c r="N8" s="5">
        <f t="shared" si="0"/>
        <v>453.08</v>
      </c>
    </row>
    <row r="9" spans="1:14" x14ac:dyDescent="0.25">
      <c r="A9" t="s">
        <v>163</v>
      </c>
      <c r="B9" s="5"/>
      <c r="C9" s="5"/>
      <c r="D9" s="5"/>
      <c r="E9" s="5">
        <v>450.32</v>
      </c>
      <c r="F9" s="5">
        <v>611.24</v>
      </c>
      <c r="G9" s="5"/>
      <c r="H9" s="5"/>
      <c r="I9" s="5"/>
      <c r="J9" s="5"/>
      <c r="K9" s="5"/>
      <c r="L9" s="5"/>
      <c r="M9" s="5"/>
      <c r="N9" s="5">
        <f t="shared" si="0"/>
        <v>1061.56</v>
      </c>
    </row>
    <row r="10" spans="1:14" x14ac:dyDescent="0.25">
      <c r="A10" t="s">
        <v>164</v>
      </c>
      <c r="B10" s="5"/>
      <c r="C10" s="5"/>
      <c r="D10" s="5"/>
      <c r="E10" s="5">
        <v>769.52</v>
      </c>
      <c r="F10" s="5">
        <v>0</v>
      </c>
      <c r="G10" s="5"/>
      <c r="H10" s="5"/>
      <c r="I10" s="5"/>
      <c r="J10" s="5"/>
      <c r="K10" s="5"/>
      <c r="L10" s="5"/>
      <c r="M10" s="5"/>
      <c r="N10" s="5">
        <f t="shared" si="0"/>
        <v>769.52</v>
      </c>
    </row>
    <row r="11" spans="1:14" x14ac:dyDescent="0.25">
      <c r="A11" t="s">
        <v>165</v>
      </c>
      <c r="B11" s="5"/>
      <c r="C11" s="5"/>
      <c r="D11" s="5"/>
      <c r="E11" s="5">
        <v>96.53</v>
      </c>
      <c r="F11" s="5">
        <v>335.47</v>
      </c>
      <c r="G11" s="5"/>
      <c r="H11" s="5"/>
      <c r="I11" s="5"/>
      <c r="J11" s="5"/>
      <c r="K11" s="5"/>
      <c r="L11" s="5"/>
      <c r="M11" s="5"/>
      <c r="N11" s="5">
        <f t="shared" si="0"/>
        <v>432</v>
      </c>
    </row>
    <row r="12" spans="1:14" x14ac:dyDescent="0.25">
      <c r="A12" t="s">
        <v>166</v>
      </c>
      <c r="B12" s="5"/>
      <c r="C12" s="5"/>
      <c r="D12" s="5"/>
      <c r="E12" s="5">
        <v>58.71</v>
      </c>
      <c r="F12" s="5">
        <v>8.7200000000000006</v>
      </c>
      <c r="G12" s="5"/>
      <c r="H12" s="5"/>
      <c r="I12" s="5"/>
      <c r="J12" s="5"/>
      <c r="K12" s="5"/>
      <c r="L12" s="5"/>
      <c r="M12" s="5"/>
      <c r="N12" s="5">
        <f t="shared" si="0"/>
        <v>67.430000000000007</v>
      </c>
    </row>
    <row r="13" spans="1:14" x14ac:dyDescent="0.25">
      <c r="A13" t="s">
        <v>167</v>
      </c>
      <c r="B13" s="5"/>
      <c r="C13" s="5"/>
      <c r="D13" s="5"/>
      <c r="E13" s="5">
        <v>184.42</v>
      </c>
      <c r="F13" s="5">
        <v>186.2</v>
      </c>
      <c r="G13" s="5"/>
      <c r="H13" s="5"/>
      <c r="I13" s="5"/>
      <c r="J13" s="5"/>
      <c r="K13" s="5"/>
      <c r="L13" s="5"/>
      <c r="M13" s="5"/>
      <c r="N13" s="5">
        <f t="shared" si="0"/>
        <v>370.62</v>
      </c>
    </row>
    <row r="14" spans="1:14" x14ac:dyDescent="0.25">
      <c r="A14" t="s">
        <v>168</v>
      </c>
      <c r="B14" s="5"/>
      <c r="C14" s="5"/>
      <c r="D14" s="5"/>
      <c r="E14" s="5">
        <v>482.16</v>
      </c>
      <c r="F14" s="5">
        <v>356.25</v>
      </c>
      <c r="G14" s="5"/>
      <c r="H14" s="5"/>
      <c r="I14" s="5"/>
      <c r="J14" s="5"/>
      <c r="K14" s="5"/>
      <c r="L14" s="5"/>
      <c r="M14" s="5"/>
      <c r="N14" s="5">
        <f t="shared" si="0"/>
        <v>838.41000000000008</v>
      </c>
    </row>
    <row r="15" spans="1:14" x14ac:dyDescent="0.25">
      <c r="A15" t="s">
        <v>169</v>
      </c>
      <c r="B15" s="5"/>
      <c r="C15" s="5"/>
      <c r="D15" s="5"/>
      <c r="E15" s="5">
        <v>490</v>
      </c>
      <c r="F15" s="5">
        <v>0</v>
      </c>
      <c r="G15" s="5"/>
      <c r="H15" s="5"/>
      <c r="I15" s="5"/>
      <c r="J15" s="5"/>
      <c r="K15" s="5"/>
      <c r="L15" s="5"/>
      <c r="M15" s="5"/>
      <c r="N15" s="5">
        <f t="shared" si="0"/>
        <v>490</v>
      </c>
    </row>
    <row r="16" spans="1:14" x14ac:dyDescent="0.25">
      <c r="A16" t="s">
        <v>170</v>
      </c>
      <c r="B16" s="5"/>
      <c r="C16" s="5"/>
      <c r="D16" s="5"/>
      <c r="E16" s="5"/>
      <c r="F16" s="5">
        <v>300</v>
      </c>
      <c r="G16" s="5"/>
      <c r="H16" s="5"/>
      <c r="I16" s="5"/>
      <c r="J16" s="5"/>
      <c r="K16" s="5"/>
      <c r="L16" s="5"/>
      <c r="M16" s="5"/>
      <c r="N16" s="5">
        <f t="shared" si="0"/>
        <v>300</v>
      </c>
    </row>
    <row r="17" spans="1:14" x14ac:dyDescent="0.25">
      <c r="A17" t="s">
        <v>171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f t="shared" si="0"/>
        <v>0</v>
      </c>
    </row>
    <row r="18" spans="1:14" x14ac:dyDescent="0.25">
      <c r="A18" s="6" t="s">
        <v>172</v>
      </c>
      <c r="B18" s="7">
        <f t="shared" ref="B18:N18" si="1">SUM(B5:B17)</f>
        <v>0</v>
      </c>
      <c r="C18" s="7">
        <f t="shared" si="1"/>
        <v>0</v>
      </c>
      <c r="D18" s="7">
        <f t="shared" si="1"/>
        <v>0</v>
      </c>
      <c r="E18" s="7">
        <f t="shared" si="1"/>
        <v>4919.8900000000012</v>
      </c>
      <c r="F18" s="7">
        <f t="shared" si="1"/>
        <v>3003.1699999999996</v>
      </c>
      <c r="G18" s="7">
        <f t="shared" si="1"/>
        <v>0</v>
      </c>
      <c r="H18" s="7">
        <f t="shared" si="1"/>
        <v>0</v>
      </c>
      <c r="I18" s="7">
        <f t="shared" si="1"/>
        <v>0</v>
      </c>
      <c r="J18" s="7">
        <f t="shared" si="1"/>
        <v>0</v>
      </c>
      <c r="K18" s="7">
        <f t="shared" si="1"/>
        <v>0</v>
      </c>
      <c r="L18" s="7">
        <f t="shared" si="1"/>
        <v>0</v>
      </c>
      <c r="M18" s="7">
        <f t="shared" si="1"/>
        <v>0</v>
      </c>
      <c r="N18" s="7">
        <f t="shared" si="1"/>
        <v>7923.06</v>
      </c>
    </row>
    <row r="20" spans="1:14" x14ac:dyDescent="0.25">
      <c r="A20" t="s">
        <v>173</v>
      </c>
      <c r="B20" s="4">
        <v>5863</v>
      </c>
      <c r="C20" s="4">
        <v>5466</v>
      </c>
      <c r="D20" s="4">
        <v>3914</v>
      </c>
      <c r="E20" s="4">
        <v>8658</v>
      </c>
      <c r="F20" s="4">
        <v>4911</v>
      </c>
      <c r="G20" s="4"/>
      <c r="H20" s="4"/>
      <c r="I20" s="4"/>
      <c r="J20" s="4"/>
      <c r="K20" s="4"/>
      <c r="L20" s="4"/>
      <c r="M20" s="4"/>
      <c r="N20" s="5">
        <f>SUM(B20:M20)</f>
        <v>28812</v>
      </c>
    </row>
    <row r="21" spans="1:14" x14ac:dyDescent="0.25">
      <c r="A21" t="s">
        <v>174</v>
      </c>
      <c r="B21" s="5">
        <f t="shared" ref="B21:N21" si="2">B18-B20</f>
        <v>-5863</v>
      </c>
      <c r="C21" s="5">
        <f t="shared" si="2"/>
        <v>-5466</v>
      </c>
      <c r="D21" s="5">
        <f t="shared" si="2"/>
        <v>-3914</v>
      </c>
      <c r="E21" s="5">
        <f t="shared" si="2"/>
        <v>-3738.1099999999988</v>
      </c>
      <c r="F21" s="5">
        <f t="shared" si="2"/>
        <v>-1907.8300000000004</v>
      </c>
      <c r="G21" s="5">
        <f t="shared" si="2"/>
        <v>0</v>
      </c>
      <c r="H21" s="5">
        <f t="shared" si="2"/>
        <v>0</v>
      </c>
      <c r="I21" s="5">
        <f t="shared" si="2"/>
        <v>0</v>
      </c>
      <c r="J21" s="5">
        <f t="shared" si="2"/>
        <v>0</v>
      </c>
      <c r="K21" s="5">
        <f t="shared" si="2"/>
        <v>0</v>
      </c>
      <c r="L21" s="5">
        <f t="shared" si="2"/>
        <v>0</v>
      </c>
      <c r="M21" s="5">
        <f t="shared" si="2"/>
        <v>0</v>
      </c>
      <c r="N21" s="5">
        <f t="shared" si="2"/>
        <v>-20888.939999999999</v>
      </c>
    </row>
  </sheetData>
  <mergeCells count="2">
    <mergeCell ref="A2:N2"/>
    <mergeCell ref="A1:N1"/>
  </mergeCells>
  <conditionalFormatting sqref="B21:M21">
    <cfRule type="cellIs" dxfId="3" priority="1" operator="lessThan">
      <formula>-50</formula>
    </cfRule>
    <cfRule type="cellIs" dxfId="2" priority="2" operator="greaterThan">
      <formula>50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9"/>
  <sheetViews>
    <sheetView workbookViewId="0"/>
  </sheetViews>
  <sheetFormatPr defaultRowHeight="15" x14ac:dyDescent="0.25"/>
  <cols>
    <col min="1" max="1" width="40" customWidth="1"/>
    <col min="2" max="14" width="11" customWidth="1"/>
  </cols>
  <sheetData>
    <row r="1" spans="1:14" ht="18.75" x14ac:dyDescent="0.3">
      <c r="A1" s="22" t="s">
        <v>175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x14ac:dyDescent="0.25">
      <c r="A2" s="21" t="s">
        <v>176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4" spans="1:14" x14ac:dyDescent="0.25">
      <c r="A4" s="2" t="s">
        <v>177</v>
      </c>
      <c r="B4" s="2" t="s">
        <v>85</v>
      </c>
      <c r="C4" s="2" t="s">
        <v>86</v>
      </c>
      <c r="D4" s="2" t="s">
        <v>87</v>
      </c>
      <c r="E4" s="2" t="s">
        <v>88</v>
      </c>
      <c r="F4" s="2" t="s">
        <v>89</v>
      </c>
      <c r="G4" s="2" t="s">
        <v>90</v>
      </c>
      <c r="H4" s="2" t="s">
        <v>91</v>
      </c>
      <c r="I4" s="2" t="s">
        <v>92</v>
      </c>
      <c r="J4" s="2" t="s">
        <v>93</v>
      </c>
      <c r="K4" s="2" t="s">
        <v>94</v>
      </c>
      <c r="L4" s="2" t="s">
        <v>95</v>
      </c>
      <c r="M4" s="2" t="s">
        <v>96</v>
      </c>
      <c r="N4" s="2" t="s">
        <v>158</v>
      </c>
    </row>
    <row r="5" spans="1:14" x14ac:dyDescent="0.25">
      <c r="A5" t="s">
        <v>178</v>
      </c>
      <c r="B5" s="4"/>
      <c r="C5" s="4"/>
      <c r="D5" s="4">
        <v>26318</v>
      </c>
      <c r="E5" s="4"/>
      <c r="F5" s="4">
        <v>2000</v>
      </c>
      <c r="G5" s="4"/>
      <c r="H5" s="4"/>
      <c r="I5" s="4"/>
      <c r="J5" s="4"/>
      <c r="K5" s="4"/>
      <c r="L5" s="4"/>
      <c r="M5" s="4"/>
      <c r="N5" s="5">
        <f>SUM(B5:M5)</f>
        <v>28318</v>
      </c>
    </row>
    <row r="6" spans="1:14" x14ac:dyDescent="0.25">
      <c r="A6" t="s">
        <v>179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>
        <f>SUM(B6:M6)</f>
        <v>0</v>
      </c>
    </row>
    <row r="7" spans="1:14" x14ac:dyDescent="0.25">
      <c r="A7" s="6" t="s">
        <v>180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>
        <f>N5-N6</f>
        <v>28318</v>
      </c>
    </row>
    <row r="9" spans="1:14" x14ac:dyDescent="0.25">
      <c r="A9" t="s">
        <v>181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>
        <f>SUM(B9:M9)</f>
        <v>0</v>
      </c>
    </row>
    <row r="10" spans="1:14" x14ac:dyDescent="0.25">
      <c r="A10" t="s">
        <v>182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>
        <f>SUM(B10:M10)</f>
        <v>0</v>
      </c>
    </row>
    <row r="11" spans="1:14" x14ac:dyDescent="0.25">
      <c r="A11" s="6" t="s">
        <v>183</v>
      </c>
      <c r="B11" s="7">
        <f t="shared" ref="B11:M11" si="0">B9-B10</f>
        <v>0</v>
      </c>
      <c r="C11" s="7">
        <f t="shared" si="0"/>
        <v>0</v>
      </c>
      <c r="D11" s="7">
        <f t="shared" si="0"/>
        <v>0</v>
      </c>
      <c r="E11" s="7">
        <f t="shared" si="0"/>
        <v>0</v>
      </c>
      <c r="F11" s="7">
        <f t="shared" si="0"/>
        <v>0</v>
      </c>
      <c r="G11" s="7">
        <f t="shared" si="0"/>
        <v>0</v>
      </c>
      <c r="H11" s="7">
        <f t="shared" si="0"/>
        <v>0</v>
      </c>
      <c r="I11" s="7">
        <f t="shared" si="0"/>
        <v>0</v>
      </c>
      <c r="J11" s="7">
        <f t="shared" si="0"/>
        <v>0</v>
      </c>
      <c r="K11" s="7">
        <f t="shared" si="0"/>
        <v>0</v>
      </c>
      <c r="L11" s="7">
        <f t="shared" si="0"/>
        <v>0</v>
      </c>
      <c r="M11" s="7">
        <f t="shared" si="0"/>
        <v>0</v>
      </c>
      <c r="N11" s="7">
        <f>SUM(B11:M11)</f>
        <v>0</v>
      </c>
    </row>
    <row r="12" spans="1:14" x14ac:dyDescent="0.25">
      <c r="A12" t="s">
        <v>184</v>
      </c>
      <c r="B12" s="5">
        <f>B11</f>
        <v>0</v>
      </c>
      <c r="C12" s="5">
        <f t="shared" ref="C12:M12" si="1">B12+C11</f>
        <v>0</v>
      </c>
      <c r="D12" s="5">
        <f t="shared" si="1"/>
        <v>0</v>
      </c>
      <c r="E12" s="5">
        <f t="shared" si="1"/>
        <v>0</v>
      </c>
      <c r="F12" s="5">
        <f t="shared" si="1"/>
        <v>0</v>
      </c>
      <c r="G12" s="5">
        <f t="shared" si="1"/>
        <v>0</v>
      </c>
      <c r="H12" s="5">
        <f t="shared" si="1"/>
        <v>0</v>
      </c>
      <c r="I12" s="5">
        <f t="shared" si="1"/>
        <v>0</v>
      </c>
      <c r="J12" s="5">
        <f t="shared" si="1"/>
        <v>0</v>
      </c>
      <c r="K12" s="5">
        <f t="shared" si="1"/>
        <v>0</v>
      </c>
      <c r="L12" s="5">
        <f t="shared" si="1"/>
        <v>0</v>
      </c>
      <c r="M12" s="5">
        <f t="shared" si="1"/>
        <v>0</v>
      </c>
      <c r="N12" s="5"/>
    </row>
    <row r="14" spans="1:14" x14ac:dyDescent="0.25">
      <c r="A14" s="9" t="s">
        <v>185</v>
      </c>
    </row>
    <row r="15" spans="1:14" x14ac:dyDescent="0.25">
      <c r="A15" t="s">
        <v>186</v>
      </c>
      <c r="B15" s="5">
        <f>N7</f>
        <v>28318</v>
      </c>
    </row>
    <row r="16" spans="1:14" x14ac:dyDescent="0.25">
      <c r="A16" t="s">
        <v>187</v>
      </c>
      <c r="B16" s="5">
        <f>IFERROR(AVERAGEIF(B11:M11,"&lt;&gt;0"),0)</f>
        <v>0</v>
      </c>
    </row>
    <row r="17" spans="1:2" x14ac:dyDescent="0.25">
      <c r="A17" t="s">
        <v>188</v>
      </c>
      <c r="B17" s="5">
        <f>B16*12</f>
        <v>0</v>
      </c>
    </row>
    <row r="18" spans="1:2" x14ac:dyDescent="0.25">
      <c r="A18" t="s">
        <v>189</v>
      </c>
      <c r="B18" s="10" t="str">
        <f>IFERROR(B15/B17,"-")</f>
        <v>-</v>
      </c>
    </row>
    <row r="19" spans="1:2" x14ac:dyDescent="0.25">
      <c r="A19" t="s">
        <v>190</v>
      </c>
      <c r="B19" s="11">
        <f>IFERROR(N12/B15,0)</f>
        <v>0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8"/>
  <sheetViews>
    <sheetView workbookViewId="0"/>
  </sheetViews>
  <sheetFormatPr defaultRowHeight="15" x14ac:dyDescent="0.25"/>
  <cols>
    <col min="1" max="1" width="32" customWidth="1"/>
    <col min="2" max="13" width="11" customWidth="1"/>
  </cols>
  <sheetData>
    <row r="1" spans="1:14" ht="18.75" x14ac:dyDescent="0.3">
      <c r="A1" s="22" t="s">
        <v>191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x14ac:dyDescent="0.25">
      <c r="A2" s="21" t="s">
        <v>192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4" spans="1:14" x14ac:dyDescent="0.25">
      <c r="A4" s="2" t="s">
        <v>193</v>
      </c>
      <c r="B4" s="2" t="s">
        <v>85</v>
      </c>
      <c r="C4" s="2" t="s">
        <v>86</v>
      </c>
      <c r="D4" s="2" t="s">
        <v>87</v>
      </c>
      <c r="E4" s="2" t="s">
        <v>88</v>
      </c>
      <c r="F4" s="2" t="s">
        <v>89</v>
      </c>
      <c r="G4" s="2" t="s">
        <v>90</v>
      </c>
      <c r="H4" s="2" t="s">
        <v>91</v>
      </c>
      <c r="I4" s="2" t="s">
        <v>92</v>
      </c>
      <c r="J4" s="2" t="s">
        <v>93</v>
      </c>
      <c r="K4" s="2" t="s">
        <v>94</v>
      </c>
      <c r="L4" s="2" t="s">
        <v>95</v>
      </c>
      <c r="M4" s="2" t="s">
        <v>96</v>
      </c>
    </row>
    <row r="5" spans="1:14" x14ac:dyDescent="0.25">
      <c r="A5" t="s">
        <v>194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4" x14ac:dyDescent="0.25">
      <c r="A6" t="s">
        <v>195</v>
      </c>
      <c r="B6" s="4"/>
      <c r="C6" s="4"/>
      <c r="D6" s="4"/>
      <c r="E6" s="4"/>
      <c r="F6" s="4">
        <v>28188.03</v>
      </c>
      <c r="G6" s="4"/>
      <c r="H6" s="4"/>
      <c r="I6" s="4"/>
      <c r="J6" s="4"/>
      <c r="K6" s="4"/>
      <c r="L6" s="4"/>
      <c r="M6" s="4"/>
    </row>
    <row r="7" spans="1:14" x14ac:dyDescent="0.25">
      <c r="A7" t="s">
        <v>196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4" x14ac:dyDescent="0.25">
      <c r="A8" t="s">
        <v>197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4" x14ac:dyDescent="0.25">
      <c r="A9" t="s">
        <v>198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4" x14ac:dyDescent="0.25">
      <c r="A10" t="s">
        <v>199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4" x14ac:dyDescent="0.25">
      <c r="A11" t="s">
        <v>200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4" x14ac:dyDescent="0.25">
      <c r="A12" t="s">
        <v>201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4" x14ac:dyDescent="0.25">
      <c r="A13" t="s">
        <v>202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4" x14ac:dyDescent="0.25">
      <c r="A14" t="s">
        <v>203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4" x14ac:dyDescent="0.25">
      <c r="A15" t="s">
        <v>204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x14ac:dyDescent="0.25">
      <c r="A16" t="s">
        <v>205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s="6" t="s">
        <v>206</v>
      </c>
      <c r="B17" s="7">
        <f t="shared" ref="B17:M17" si="0">SUM(B5:B16)</f>
        <v>0</v>
      </c>
      <c r="C17" s="7">
        <f t="shared" si="0"/>
        <v>0</v>
      </c>
      <c r="D17" s="7">
        <f t="shared" si="0"/>
        <v>0</v>
      </c>
      <c r="E17" s="7">
        <f t="shared" si="0"/>
        <v>0</v>
      </c>
      <c r="F17" s="7">
        <f t="shared" si="0"/>
        <v>28188.03</v>
      </c>
      <c r="G17" s="7">
        <f t="shared" si="0"/>
        <v>0</v>
      </c>
      <c r="H17" s="7">
        <f t="shared" si="0"/>
        <v>0</v>
      </c>
      <c r="I17" s="7">
        <f t="shared" si="0"/>
        <v>0</v>
      </c>
      <c r="J17" s="7">
        <f t="shared" si="0"/>
        <v>0</v>
      </c>
      <c r="K17" s="7">
        <f t="shared" si="0"/>
        <v>0</v>
      </c>
      <c r="L17" s="7">
        <f t="shared" si="0"/>
        <v>0</v>
      </c>
      <c r="M17" s="7">
        <f t="shared" si="0"/>
        <v>0</v>
      </c>
    </row>
    <row r="18" spans="1:13" x14ac:dyDescent="0.25">
      <c r="A18" t="s">
        <v>207</v>
      </c>
      <c r="B18" s="5"/>
      <c r="C18" s="5">
        <f t="shared" ref="C18:M18" si="1">IF(B17=0,0,C17-B17)</f>
        <v>0</v>
      </c>
      <c r="D18" s="5">
        <f t="shared" si="1"/>
        <v>0</v>
      </c>
      <c r="E18" s="5">
        <f t="shared" si="1"/>
        <v>0</v>
      </c>
      <c r="F18" s="5">
        <f t="shared" si="1"/>
        <v>0</v>
      </c>
      <c r="G18" s="5">
        <f t="shared" si="1"/>
        <v>-28188.03</v>
      </c>
      <c r="H18" s="5">
        <f t="shared" si="1"/>
        <v>0</v>
      </c>
      <c r="I18" s="5">
        <f t="shared" si="1"/>
        <v>0</v>
      </c>
      <c r="J18" s="5">
        <f t="shared" si="1"/>
        <v>0</v>
      </c>
      <c r="K18" s="5">
        <f t="shared" si="1"/>
        <v>0</v>
      </c>
      <c r="L18" s="5">
        <f t="shared" si="1"/>
        <v>0</v>
      </c>
      <c r="M18" s="5">
        <f t="shared" si="1"/>
        <v>0</v>
      </c>
    </row>
  </sheetData>
  <mergeCells count="2">
    <mergeCell ref="A2:N2"/>
    <mergeCell ref="A1:N1"/>
  </mergeCells>
  <conditionalFormatting sqref="C18:M18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6"/>
  <sheetViews>
    <sheetView workbookViewId="0"/>
  </sheetViews>
  <sheetFormatPr defaultRowHeight="15" x14ac:dyDescent="0.25"/>
  <cols>
    <col min="1" max="1" width="38" customWidth="1"/>
    <col min="2" max="3" width="14" customWidth="1"/>
    <col min="4" max="4" width="18" customWidth="1"/>
    <col min="5" max="5" width="10" customWidth="1"/>
    <col min="6" max="6" width="60" customWidth="1"/>
  </cols>
  <sheetData>
    <row r="1" spans="1:6" ht="18.75" x14ac:dyDescent="0.3">
      <c r="A1" s="22" t="s">
        <v>208</v>
      </c>
      <c r="B1" s="20"/>
      <c r="C1" s="20"/>
      <c r="D1" s="20"/>
      <c r="E1" s="20"/>
      <c r="F1" s="20"/>
    </row>
    <row r="2" spans="1:6" x14ac:dyDescent="0.25">
      <c r="A2" s="21" t="s">
        <v>209</v>
      </c>
      <c r="B2" s="20"/>
      <c r="C2" s="20"/>
      <c r="D2" s="20"/>
      <c r="E2" s="20"/>
      <c r="F2" s="20"/>
    </row>
    <row r="4" spans="1:6" x14ac:dyDescent="0.25">
      <c r="A4" s="3" t="s">
        <v>210</v>
      </c>
      <c r="B4" s="3"/>
      <c r="C4" s="3"/>
      <c r="D4" s="3"/>
      <c r="E4" s="3"/>
      <c r="F4" s="3"/>
    </row>
    <row r="5" spans="1:6" x14ac:dyDescent="0.25">
      <c r="A5" s="2" t="s">
        <v>177</v>
      </c>
      <c r="B5" s="2" t="s">
        <v>211</v>
      </c>
      <c r="C5" s="2" t="s">
        <v>158</v>
      </c>
      <c r="D5" s="2" t="s">
        <v>212</v>
      </c>
      <c r="E5" s="2" t="s">
        <v>213</v>
      </c>
      <c r="F5" s="2" t="s">
        <v>214</v>
      </c>
    </row>
    <row r="6" spans="1:6" x14ac:dyDescent="0.25">
      <c r="A6" t="s">
        <v>215</v>
      </c>
      <c r="B6" s="5"/>
      <c r="C6" s="5">
        <v>41980</v>
      </c>
      <c r="D6" s="5"/>
      <c r="F6" t="s">
        <v>216</v>
      </c>
    </row>
    <row r="7" spans="1:6" x14ac:dyDescent="0.25">
      <c r="A7" t="s">
        <v>217</v>
      </c>
      <c r="B7" s="5" t="s">
        <v>218</v>
      </c>
      <c r="C7" s="5"/>
      <c r="D7" s="5" t="s">
        <v>219</v>
      </c>
      <c r="F7" t="s">
        <v>220</v>
      </c>
    </row>
    <row r="8" spans="1:6" x14ac:dyDescent="0.25">
      <c r="A8" t="s">
        <v>221</v>
      </c>
      <c r="B8" s="5"/>
      <c r="C8" s="5"/>
      <c r="D8" s="5">
        <v>23500</v>
      </c>
      <c r="F8" t="s">
        <v>222</v>
      </c>
    </row>
    <row r="9" spans="1:6" x14ac:dyDescent="0.25">
      <c r="A9" t="s">
        <v>223</v>
      </c>
      <c r="B9" s="5">
        <v>109.92</v>
      </c>
      <c r="C9" s="5">
        <v>1249.83</v>
      </c>
      <c r="D9" s="5">
        <v>4338</v>
      </c>
      <c r="F9" t="s">
        <v>224</v>
      </c>
    </row>
    <row r="10" spans="1:6" x14ac:dyDescent="0.25">
      <c r="A10" t="s">
        <v>225</v>
      </c>
      <c r="B10" s="5"/>
      <c r="C10" s="5"/>
      <c r="D10" s="5">
        <v>4338</v>
      </c>
      <c r="F10" t="s">
        <v>226</v>
      </c>
    </row>
    <row r="11" spans="1:6" x14ac:dyDescent="0.25">
      <c r="A11" t="s">
        <v>227</v>
      </c>
      <c r="B11" s="5">
        <v>153.85</v>
      </c>
      <c r="C11" s="5">
        <v>1538.5</v>
      </c>
      <c r="D11" s="5">
        <v>4000</v>
      </c>
      <c r="E11" s="12">
        <f>C11/D11</f>
        <v>0.38462499999999999</v>
      </c>
      <c r="F11" t="s">
        <v>228</v>
      </c>
    </row>
    <row r="12" spans="1:6" x14ac:dyDescent="0.25">
      <c r="A12" t="s">
        <v>229</v>
      </c>
      <c r="B12" s="5">
        <v>96.15</v>
      </c>
      <c r="C12" s="5">
        <v>961.5</v>
      </c>
      <c r="D12" s="5">
        <v>3300</v>
      </c>
      <c r="E12" s="12">
        <f>C12/D12</f>
        <v>0.29136363636363638</v>
      </c>
      <c r="F12" t="s">
        <v>230</v>
      </c>
    </row>
    <row r="13" spans="1:6" x14ac:dyDescent="0.25">
      <c r="A13" t="s">
        <v>231</v>
      </c>
      <c r="B13" s="5"/>
      <c r="C13" s="5">
        <v>3634</v>
      </c>
      <c r="D13" s="5">
        <v>5250</v>
      </c>
      <c r="E13" s="12">
        <f>C13/D13</f>
        <v>0.69219047619047624</v>
      </c>
      <c r="F13" t="s">
        <v>232</v>
      </c>
    </row>
    <row r="14" spans="1:6" x14ac:dyDescent="0.25">
      <c r="A14" t="s">
        <v>233</v>
      </c>
      <c r="B14" s="5"/>
      <c r="C14" s="5">
        <v>2964.21</v>
      </c>
      <c r="D14" s="5"/>
      <c r="F14" t="s">
        <v>234</v>
      </c>
    </row>
    <row r="15" spans="1:6" x14ac:dyDescent="0.25">
      <c r="A15" t="s">
        <v>235</v>
      </c>
      <c r="B15" s="5"/>
      <c r="C15" s="5"/>
      <c r="D15" s="5"/>
      <c r="F15" t="s">
        <v>236</v>
      </c>
    </row>
    <row r="17" spans="1:6" x14ac:dyDescent="0.25">
      <c r="A17" s="3" t="s">
        <v>237</v>
      </c>
      <c r="B17" s="3"/>
      <c r="C17" s="3"/>
      <c r="D17" s="3"/>
      <c r="E17" s="3"/>
      <c r="F17" s="3"/>
    </row>
    <row r="18" spans="1:6" x14ac:dyDescent="0.25">
      <c r="A18" s="2" t="s">
        <v>177</v>
      </c>
      <c r="B18" s="2" t="s">
        <v>211</v>
      </c>
      <c r="C18" s="2" t="s">
        <v>158</v>
      </c>
      <c r="D18" s="2" t="s">
        <v>212</v>
      </c>
      <c r="E18" s="2" t="s">
        <v>213</v>
      </c>
      <c r="F18" s="2" t="s">
        <v>214</v>
      </c>
    </row>
    <row r="19" spans="1:6" x14ac:dyDescent="0.25">
      <c r="A19" t="s">
        <v>238</v>
      </c>
      <c r="B19" s="5"/>
      <c r="C19" s="5"/>
      <c r="D19" s="5"/>
      <c r="F19" t="s">
        <v>239</v>
      </c>
    </row>
    <row r="20" spans="1:6" x14ac:dyDescent="0.25">
      <c r="A20" t="s">
        <v>240</v>
      </c>
      <c r="B20" s="5">
        <v>0</v>
      </c>
      <c r="C20" s="5">
        <v>0</v>
      </c>
      <c r="D20" s="5">
        <v>23500</v>
      </c>
      <c r="E20" s="12" t="s">
        <v>241</v>
      </c>
      <c r="F20" t="s">
        <v>242</v>
      </c>
    </row>
    <row r="21" spans="1:6" x14ac:dyDescent="0.25">
      <c r="A21" t="s">
        <v>243</v>
      </c>
      <c r="B21" s="5"/>
      <c r="C21" s="5"/>
      <c r="D21" s="5"/>
      <c r="F21" t="s">
        <v>244</v>
      </c>
    </row>
    <row r="22" spans="1:6" x14ac:dyDescent="0.25">
      <c r="A22" t="s">
        <v>245</v>
      </c>
      <c r="B22" s="5"/>
      <c r="C22" s="5"/>
      <c r="D22" s="5"/>
      <c r="F22" t="s">
        <v>246</v>
      </c>
    </row>
    <row r="24" spans="1:6" x14ac:dyDescent="0.25">
      <c r="A24" s="3" t="s">
        <v>247</v>
      </c>
      <c r="B24" s="3"/>
      <c r="C24" s="3"/>
      <c r="D24" s="3"/>
      <c r="E24" s="3"/>
      <c r="F24" s="3"/>
    </row>
    <row r="25" spans="1:6" x14ac:dyDescent="0.25">
      <c r="A25" s="2" t="s">
        <v>177</v>
      </c>
      <c r="B25" s="2" t="s">
        <v>248</v>
      </c>
      <c r="C25" s="2" t="s">
        <v>158</v>
      </c>
      <c r="D25" s="2" t="s">
        <v>249</v>
      </c>
      <c r="E25" s="2" t="s">
        <v>213</v>
      </c>
      <c r="F25" s="2" t="s">
        <v>214</v>
      </c>
    </row>
    <row r="26" spans="1:6" x14ac:dyDescent="0.25">
      <c r="A26" t="s">
        <v>250</v>
      </c>
      <c r="B26" s="5">
        <v>100</v>
      </c>
      <c r="C26" s="5">
        <f>B26*5</f>
        <v>500</v>
      </c>
      <c r="D26" s="5">
        <v>2000</v>
      </c>
      <c r="E26" s="12">
        <f>C26/D26</f>
        <v>0.25</v>
      </c>
      <c r="F26" t="s">
        <v>251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workbookViewId="0"/>
  </sheetViews>
  <sheetFormatPr defaultRowHeight="15" x14ac:dyDescent="0.25"/>
  <cols>
    <col min="1" max="1" width="50" customWidth="1"/>
    <col min="2" max="6" width="24" customWidth="1"/>
  </cols>
  <sheetData>
    <row r="1" spans="1:6" ht="18.75" x14ac:dyDescent="0.3">
      <c r="A1" s="22" t="s">
        <v>252</v>
      </c>
      <c r="B1" s="20"/>
      <c r="C1" s="20"/>
      <c r="D1" s="20"/>
      <c r="E1" s="20"/>
      <c r="F1" s="20"/>
    </row>
    <row r="2" spans="1:6" x14ac:dyDescent="0.25">
      <c r="A2" s="21" t="s">
        <v>253</v>
      </c>
      <c r="B2" s="20"/>
      <c r="C2" s="20"/>
      <c r="D2" s="20"/>
      <c r="E2" s="20"/>
      <c r="F2" s="20"/>
    </row>
    <row r="4" spans="1:6" x14ac:dyDescent="0.25">
      <c r="A4" s="3" t="s">
        <v>254</v>
      </c>
      <c r="B4" s="3"/>
      <c r="C4" s="3"/>
      <c r="D4" s="3"/>
      <c r="E4" s="3"/>
      <c r="F4" s="3"/>
    </row>
    <row r="5" spans="1:6" x14ac:dyDescent="0.25">
      <c r="A5" t="s">
        <v>255</v>
      </c>
      <c r="B5" s="13">
        <v>7.0000000000000007E-2</v>
      </c>
      <c r="C5" t="s">
        <v>256</v>
      </c>
    </row>
    <row r="6" spans="1:6" x14ac:dyDescent="0.25">
      <c r="A6" t="s">
        <v>257</v>
      </c>
      <c r="B6" s="14">
        <v>20</v>
      </c>
    </row>
    <row r="7" spans="1:6" x14ac:dyDescent="0.25">
      <c r="A7" t="s">
        <v>258</v>
      </c>
      <c r="B7" s="13">
        <v>0.05</v>
      </c>
    </row>
    <row r="8" spans="1:6" x14ac:dyDescent="0.25">
      <c r="A8" t="s">
        <v>259</v>
      </c>
      <c r="B8" s="13">
        <v>0.22</v>
      </c>
    </row>
    <row r="10" spans="1:6" x14ac:dyDescent="0.25">
      <c r="A10" s="3" t="s">
        <v>260</v>
      </c>
      <c r="B10" s="3"/>
      <c r="C10" s="3"/>
      <c r="D10" s="3"/>
      <c r="E10" s="3"/>
      <c r="F10" s="3"/>
    </row>
    <row r="11" spans="1:6" x14ac:dyDescent="0.25">
      <c r="A11" s="2" t="s">
        <v>261</v>
      </c>
      <c r="B11" s="2" t="s">
        <v>262</v>
      </c>
      <c r="C11" s="2" t="s">
        <v>263</v>
      </c>
      <c r="D11" s="2" t="s">
        <v>264</v>
      </c>
      <c r="E11" s="2" t="s">
        <v>265</v>
      </c>
      <c r="F11" s="2" t="s">
        <v>266</v>
      </c>
    </row>
    <row r="12" spans="1:6" x14ac:dyDescent="0.25">
      <c r="A12" t="s">
        <v>267</v>
      </c>
      <c r="B12" s="15">
        <v>12000</v>
      </c>
      <c r="C12" s="16">
        <v>5.5E-2</v>
      </c>
      <c r="D12" s="15">
        <v>451</v>
      </c>
      <c r="E12" s="14">
        <v>28</v>
      </c>
      <c r="F12" s="5">
        <f>D12*E12-B12</f>
        <v>628</v>
      </c>
    </row>
    <row r="13" spans="1:6" x14ac:dyDescent="0.25">
      <c r="A13" t="s">
        <v>268</v>
      </c>
      <c r="B13" s="15">
        <v>18000</v>
      </c>
      <c r="C13" s="16">
        <v>0.06</v>
      </c>
      <c r="D13" s="15">
        <v>416</v>
      </c>
      <c r="E13" s="14">
        <v>48</v>
      </c>
      <c r="F13" s="5">
        <f>D13*E13-B13</f>
        <v>1968</v>
      </c>
    </row>
    <row r="14" spans="1:6" x14ac:dyDescent="0.25">
      <c r="A14" t="s">
        <v>269</v>
      </c>
      <c r="B14" s="15">
        <v>350000</v>
      </c>
      <c r="C14" s="16">
        <v>6.5000000000000002E-2</v>
      </c>
      <c r="D14" s="15">
        <v>3289</v>
      </c>
      <c r="E14" s="14">
        <v>320</v>
      </c>
      <c r="F14" s="5">
        <f>D14*E14-B14</f>
        <v>702480</v>
      </c>
    </row>
    <row r="16" spans="1:6" x14ac:dyDescent="0.25">
      <c r="A16" s="3" t="s">
        <v>270</v>
      </c>
      <c r="B16" s="3"/>
      <c r="C16" s="3"/>
      <c r="D16" s="3"/>
      <c r="E16" s="3"/>
      <c r="F16" s="3"/>
    </row>
    <row r="17" spans="1:6" x14ac:dyDescent="0.25">
      <c r="A17" s="2" t="s">
        <v>271</v>
      </c>
      <c r="B17" s="2" t="s">
        <v>272</v>
      </c>
      <c r="C17" s="2" t="s">
        <v>273</v>
      </c>
      <c r="D17" s="2" t="s">
        <v>274</v>
      </c>
      <c r="E17" s="2" t="s">
        <v>275</v>
      </c>
      <c r="F17" s="2" t="s">
        <v>276</v>
      </c>
    </row>
    <row r="18" spans="1:6" x14ac:dyDescent="0.25">
      <c r="A18" t="s">
        <v>277</v>
      </c>
      <c r="B18" s="5">
        <v>0</v>
      </c>
      <c r="C18" s="5">
        <f>-300</f>
        <v>-300</v>
      </c>
      <c r="D18" s="5">
        <f>451-1167</f>
        <v>-716</v>
      </c>
      <c r="E18" s="5">
        <f>451-300</f>
        <v>151</v>
      </c>
      <c r="F18" s="5">
        <f>451-1167-300-200</f>
        <v>-1216</v>
      </c>
    </row>
    <row r="19" spans="1:6" x14ac:dyDescent="0.25">
      <c r="A19" t="s">
        <v>278</v>
      </c>
      <c r="B19" s="5">
        <v>0</v>
      </c>
      <c r="C19" s="5">
        <f>300*12</f>
        <v>3600</v>
      </c>
      <c r="D19" s="5">
        <f>14000</f>
        <v>14000</v>
      </c>
      <c r="E19" s="5">
        <f>300*12</f>
        <v>3600</v>
      </c>
      <c r="F19" s="5">
        <f>300*12+14000+200*12</f>
        <v>20000</v>
      </c>
    </row>
    <row r="20" spans="1:6" x14ac:dyDescent="0.25">
      <c r="A20" t="s">
        <v>279</v>
      </c>
      <c r="B20" s="5">
        <v>0</v>
      </c>
      <c r="C20" s="5">
        <f>300*12*($B$8+$B$7)</f>
        <v>972.00000000000011</v>
      </c>
      <c r="D20" s="5">
        <f>0</f>
        <v>0</v>
      </c>
      <c r="E20" s="5">
        <f>300*12*($B$8+$B$7)</f>
        <v>972.00000000000011</v>
      </c>
      <c r="F20" s="5">
        <f>300*12*($B$8+$B$7)+MIN(200*12,2000)*$B$7</f>
        <v>1072</v>
      </c>
    </row>
    <row r="21" spans="1:6" x14ac:dyDescent="0.25">
      <c r="A21" t="s">
        <v>280</v>
      </c>
      <c r="B21" s="5">
        <v>0</v>
      </c>
      <c r="C21" s="5">
        <f>0</f>
        <v>0</v>
      </c>
      <c r="D21" s="5">
        <f>F12</f>
        <v>628</v>
      </c>
      <c r="E21" s="5">
        <f>F12</f>
        <v>628</v>
      </c>
      <c r="F21" s="5">
        <f>F12</f>
        <v>628</v>
      </c>
    </row>
    <row r="22" spans="1:6" x14ac:dyDescent="0.25">
      <c r="A22" t="s">
        <v>281</v>
      </c>
      <c r="B22" s="5">
        <v>0</v>
      </c>
      <c r="C22" s="5">
        <f>300*((((1+$B$5/12)^($B$6*12))-1)/($B$5/12))</f>
        <v>156277.99794765504</v>
      </c>
      <c r="D22" s="5">
        <f>(14000/12)*((((1+$B$5/12)^($B$6*12))-1)/($B$5/12))</f>
        <v>607747.7697964363</v>
      </c>
      <c r="E22" s="5">
        <f>300*((((1+$B$5/12)^($B$6*12))-1)/($B$5/12))</f>
        <v>156277.99794765504</v>
      </c>
      <c r="F22" s="5">
        <f>(300+200)*((((1+$B$5/12)^($B$6*12))-1)/($B$5/12))+(14000/12)*((((1+$B$5/12)^($B$6*12))-1)/($B$5/12))</f>
        <v>868211.09970919474</v>
      </c>
    </row>
    <row r="23" spans="1:6" x14ac:dyDescent="0.25">
      <c r="A23" t="s">
        <v>282</v>
      </c>
      <c r="B23" s="5">
        <f>B22+B21+B20*$B$6</f>
        <v>0</v>
      </c>
      <c r="C23" s="5">
        <f>C22+C21+C20*$B$6</f>
        <v>175717.99794765504</v>
      </c>
      <c r="D23" s="5">
        <f>D22+D21+D20*$B$6</f>
        <v>608375.7697964363</v>
      </c>
      <c r="E23" s="5">
        <f>E22+E21+E20*$B$6</f>
        <v>176345.99794765504</v>
      </c>
      <c r="F23" s="5">
        <f>F22+F21+F20*$B$6</f>
        <v>890279.09970919474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workbookViewId="0"/>
  </sheetViews>
  <sheetFormatPr defaultRowHeight="15" x14ac:dyDescent="0.25"/>
  <cols>
    <col min="1" max="1" width="80" customWidth="1"/>
  </cols>
  <sheetData>
    <row r="1" spans="1:6" ht="18.75" x14ac:dyDescent="0.3">
      <c r="A1" s="22" t="s">
        <v>283</v>
      </c>
      <c r="B1" s="20"/>
      <c r="C1" s="20"/>
      <c r="D1" s="20"/>
      <c r="E1" s="20"/>
      <c r="F1" s="20"/>
    </row>
    <row r="2" spans="1:6" x14ac:dyDescent="0.25">
      <c r="A2" s="21" t="s">
        <v>284</v>
      </c>
      <c r="B2" s="20"/>
      <c r="C2" s="20"/>
      <c r="D2" s="20"/>
      <c r="E2" s="20"/>
      <c r="F2" s="20"/>
    </row>
    <row r="4" spans="1:6" x14ac:dyDescent="0.25">
      <c r="A4" s="17" t="s">
        <v>285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4" customWidth="1"/>
    <col min="2" max="2" width="32" customWidth="1"/>
    <col min="3" max="6" width="14" customWidth="1"/>
    <col min="7" max="7" width="22" customWidth="1"/>
  </cols>
  <sheetData>
    <row r="1" spans="1:7" ht="18.75" x14ac:dyDescent="0.3">
      <c r="A1" s="8" t="s">
        <v>286</v>
      </c>
    </row>
    <row r="2" spans="1:7" x14ac:dyDescent="0.25">
      <c r="A2" s="21" t="s">
        <v>287</v>
      </c>
      <c r="B2" s="20"/>
      <c r="C2" s="20"/>
      <c r="D2" s="20"/>
      <c r="E2" s="20"/>
      <c r="F2" s="20"/>
      <c r="G2" s="20"/>
    </row>
    <row r="4" spans="1:7" x14ac:dyDescent="0.25">
      <c r="A4" s="2" t="s">
        <v>288</v>
      </c>
      <c r="B4" s="2" t="s">
        <v>289</v>
      </c>
      <c r="C4" s="2" t="s">
        <v>290</v>
      </c>
      <c r="D4" s="2" t="s">
        <v>291</v>
      </c>
      <c r="E4" s="2" t="s">
        <v>292</v>
      </c>
      <c r="F4" s="2" t="s">
        <v>262</v>
      </c>
      <c r="G4" s="2" t="s">
        <v>293</v>
      </c>
    </row>
  </sheetData>
  <mergeCells count="1">
    <mergeCell ref="A2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4" customWidth="1"/>
    <col min="2" max="2" width="32" customWidth="1"/>
    <col min="3" max="6" width="14" customWidth="1"/>
    <col min="7" max="7" width="22" customWidth="1"/>
  </cols>
  <sheetData>
    <row r="1" spans="1:7" ht="18.75" x14ac:dyDescent="0.3">
      <c r="A1" s="8" t="s">
        <v>294</v>
      </c>
    </row>
    <row r="2" spans="1:7" x14ac:dyDescent="0.25">
      <c r="A2" s="21" t="s">
        <v>295</v>
      </c>
      <c r="B2" s="20"/>
      <c r="C2" s="20"/>
      <c r="D2" s="20"/>
      <c r="E2" s="20"/>
      <c r="F2" s="20"/>
      <c r="G2" s="20"/>
    </row>
    <row r="4" spans="1:7" x14ac:dyDescent="0.25">
      <c r="A4" s="2" t="s">
        <v>288</v>
      </c>
      <c r="B4" s="2" t="s">
        <v>289</v>
      </c>
      <c r="C4" s="2" t="s">
        <v>290</v>
      </c>
      <c r="D4" s="2" t="s">
        <v>291</v>
      </c>
      <c r="E4" s="2" t="s">
        <v>292</v>
      </c>
      <c r="F4" s="2" t="s">
        <v>262</v>
      </c>
      <c r="G4" s="2" t="s">
        <v>293</v>
      </c>
    </row>
  </sheetData>
  <mergeCells count="1">
    <mergeCell ref="A2:G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4" customWidth="1"/>
    <col min="2" max="2" width="32" customWidth="1"/>
    <col min="3" max="6" width="14" customWidth="1"/>
    <col min="7" max="7" width="22" customWidth="1"/>
  </cols>
  <sheetData>
    <row r="1" spans="1:7" ht="18.75" x14ac:dyDescent="0.3">
      <c r="A1" s="8" t="s">
        <v>296</v>
      </c>
    </row>
    <row r="2" spans="1:7" x14ac:dyDescent="0.25">
      <c r="A2" s="21" t="s">
        <v>297</v>
      </c>
      <c r="B2" s="20"/>
      <c r="C2" s="20"/>
      <c r="D2" s="20"/>
      <c r="E2" s="20"/>
      <c r="F2" s="20"/>
      <c r="G2" s="20"/>
    </row>
    <row r="4" spans="1:7" x14ac:dyDescent="0.25">
      <c r="A4" s="2" t="s">
        <v>290</v>
      </c>
      <c r="B4" s="2" t="s">
        <v>298</v>
      </c>
      <c r="C4" s="2" t="s">
        <v>84</v>
      </c>
      <c r="D4" s="2" t="s">
        <v>299</v>
      </c>
      <c r="E4" s="2" t="s">
        <v>300</v>
      </c>
      <c r="F4" s="2" t="s">
        <v>301</v>
      </c>
      <c r="G4" s="2" t="s">
        <v>293</v>
      </c>
    </row>
  </sheetData>
  <mergeCells count="1">
    <mergeCell ref="A2:G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80" customWidth="1"/>
    <col min="2" max="2" width="28" customWidth="1"/>
    <col min="3" max="3" width="50" customWidth="1"/>
  </cols>
  <sheetData>
    <row r="1" spans="1:4" ht="18.75" x14ac:dyDescent="0.3">
      <c r="A1" s="22" t="s">
        <v>302</v>
      </c>
      <c r="B1" s="20"/>
      <c r="C1" s="20"/>
      <c r="D1" s="20"/>
    </row>
    <row r="2" spans="1:4" x14ac:dyDescent="0.25">
      <c r="A2" s="21" t="s">
        <v>303</v>
      </c>
      <c r="B2" s="20"/>
      <c r="C2" s="20"/>
      <c r="D2" s="20"/>
    </row>
    <row r="4" spans="1:4" x14ac:dyDescent="0.25">
      <c r="A4" s="2" t="s">
        <v>304</v>
      </c>
      <c r="B4" s="2" t="s">
        <v>84</v>
      </c>
      <c r="C4" s="2" t="s">
        <v>214</v>
      </c>
    </row>
    <row r="5" spans="1:4" x14ac:dyDescent="0.25">
      <c r="A5" s="18" t="s">
        <v>305</v>
      </c>
      <c r="B5" s="18" t="s">
        <v>306</v>
      </c>
      <c r="C5" t="s">
        <v>307</v>
      </c>
    </row>
    <row r="6" spans="1:4" x14ac:dyDescent="0.25">
      <c r="A6" s="18" t="s">
        <v>308</v>
      </c>
      <c r="B6" s="18" t="s">
        <v>306</v>
      </c>
      <c r="C6" t="s">
        <v>309</v>
      </c>
    </row>
    <row r="7" spans="1:4" x14ac:dyDescent="0.25">
      <c r="A7" s="18" t="s">
        <v>310</v>
      </c>
      <c r="B7" s="18" t="s">
        <v>306</v>
      </c>
      <c r="C7" t="s">
        <v>311</v>
      </c>
    </row>
    <row r="8" spans="1:4" x14ac:dyDescent="0.25">
      <c r="A8" s="18" t="s">
        <v>312</v>
      </c>
      <c r="B8" s="18" t="s">
        <v>306</v>
      </c>
      <c r="C8" t="s">
        <v>313</v>
      </c>
    </row>
    <row r="9" spans="1:4" x14ac:dyDescent="0.25">
      <c r="A9" s="18" t="s">
        <v>314</v>
      </c>
      <c r="B9" s="18" t="s">
        <v>306</v>
      </c>
      <c r="C9" t="s">
        <v>315</v>
      </c>
    </row>
    <row r="10" spans="1:4" x14ac:dyDescent="0.25">
      <c r="A10" s="18" t="s">
        <v>316</v>
      </c>
      <c r="B10" s="18" t="s">
        <v>306</v>
      </c>
      <c r="C10" t="s">
        <v>317</v>
      </c>
    </row>
    <row r="11" spans="1:4" x14ac:dyDescent="0.25">
      <c r="A11" s="18" t="s">
        <v>318</v>
      </c>
      <c r="B11" s="18" t="s">
        <v>306</v>
      </c>
      <c r="C11" t="s">
        <v>319</v>
      </c>
    </row>
    <row r="12" spans="1:4" x14ac:dyDescent="0.25">
      <c r="A12" s="18" t="s">
        <v>320</v>
      </c>
      <c r="B12" s="18" t="s">
        <v>321</v>
      </c>
      <c r="C12" t="s">
        <v>322</v>
      </c>
    </row>
    <row r="13" spans="1:4" x14ac:dyDescent="0.25">
      <c r="A13" s="18" t="s">
        <v>323</v>
      </c>
      <c r="B13" s="18" t="s">
        <v>324</v>
      </c>
      <c r="C13" t="s">
        <v>325</v>
      </c>
    </row>
    <row r="14" spans="1:4" x14ac:dyDescent="0.25">
      <c r="A14" s="18" t="s">
        <v>326</v>
      </c>
      <c r="B14" s="18" t="s">
        <v>327</v>
      </c>
      <c r="C14" t="s">
        <v>328</v>
      </c>
    </row>
    <row r="15" spans="1:4" x14ac:dyDescent="0.25">
      <c r="A15" s="18" t="s">
        <v>329</v>
      </c>
      <c r="B15" s="18" t="s">
        <v>330</v>
      </c>
      <c r="C15" t="s">
        <v>331</v>
      </c>
    </row>
    <row r="16" spans="1:4" x14ac:dyDescent="0.25">
      <c r="A16" s="18" t="s">
        <v>332</v>
      </c>
      <c r="B16" s="18" t="s">
        <v>333</v>
      </c>
      <c r="C16" t="s">
        <v>334</v>
      </c>
    </row>
    <row r="17" spans="1:3" x14ac:dyDescent="0.25">
      <c r="A17" s="18" t="s">
        <v>335</v>
      </c>
      <c r="B17" s="18" t="s">
        <v>333</v>
      </c>
      <c r="C17" t="s">
        <v>336</v>
      </c>
    </row>
    <row r="18" spans="1:3" x14ac:dyDescent="0.25">
      <c r="A18" s="18" t="s">
        <v>337</v>
      </c>
      <c r="B18" s="18" t="s">
        <v>333</v>
      </c>
      <c r="C18" t="s">
        <v>338</v>
      </c>
    </row>
    <row r="19" spans="1:3" x14ac:dyDescent="0.25">
      <c r="A19" s="18" t="s">
        <v>339</v>
      </c>
      <c r="B19" s="18" t="s">
        <v>340</v>
      </c>
      <c r="C19" t="s">
        <v>341</v>
      </c>
    </row>
    <row r="20" spans="1:3" x14ac:dyDescent="0.25">
      <c r="A20" s="18" t="s">
        <v>342</v>
      </c>
      <c r="B20" s="18" t="s">
        <v>343</v>
      </c>
      <c r="C20" t="s">
        <v>344</v>
      </c>
    </row>
    <row r="21" spans="1:3" x14ac:dyDescent="0.25">
      <c r="A21" s="18" t="s">
        <v>345</v>
      </c>
      <c r="B21" s="18" t="s">
        <v>346</v>
      </c>
    </row>
    <row r="22" spans="1:3" x14ac:dyDescent="0.25">
      <c r="A22" s="18" t="s">
        <v>347</v>
      </c>
      <c r="B22" s="18" t="s">
        <v>348</v>
      </c>
    </row>
    <row r="23" spans="1:3" x14ac:dyDescent="0.25">
      <c r="A23" s="18" t="s">
        <v>349</v>
      </c>
      <c r="B23" s="18" t="s">
        <v>350</v>
      </c>
      <c r="C23" t="s">
        <v>351</v>
      </c>
    </row>
    <row r="24" spans="1:3" x14ac:dyDescent="0.25">
      <c r="A24" s="18" t="s">
        <v>352</v>
      </c>
      <c r="B24" s="18" t="s">
        <v>353</v>
      </c>
      <c r="C24" t="s">
        <v>354</v>
      </c>
    </row>
    <row r="25" spans="1:3" x14ac:dyDescent="0.25">
      <c r="A25" s="18" t="s">
        <v>355</v>
      </c>
      <c r="B25" s="18" t="s">
        <v>356</v>
      </c>
    </row>
    <row r="26" spans="1:3" x14ac:dyDescent="0.25">
      <c r="A26" s="18" t="s">
        <v>357</v>
      </c>
      <c r="B26" s="18" t="s">
        <v>358</v>
      </c>
    </row>
    <row r="27" spans="1:3" x14ac:dyDescent="0.25">
      <c r="A27" s="18" t="s">
        <v>359</v>
      </c>
      <c r="B27" s="18" t="s">
        <v>360</v>
      </c>
    </row>
    <row r="28" spans="1:3" x14ac:dyDescent="0.25">
      <c r="A28" s="18" t="s">
        <v>361</v>
      </c>
      <c r="B28" s="18" t="s">
        <v>362</v>
      </c>
    </row>
    <row r="29" spans="1:3" x14ac:dyDescent="0.25">
      <c r="A29" s="18" t="s">
        <v>363</v>
      </c>
      <c r="B29" s="18" t="s">
        <v>364</v>
      </c>
    </row>
    <row r="30" spans="1:3" x14ac:dyDescent="0.25">
      <c r="A30" s="18" t="s">
        <v>365</v>
      </c>
      <c r="B30" s="18" t="s">
        <v>366</v>
      </c>
    </row>
    <row r="31" spans="1:3" x14ac:dyDescent="0.25">
      <c r="A31" s="18" t="s">
        <v>367</v>
      </c>
      <c r="B31" s="18" t="s">
        <v>368</v>
      </c>
      <c r="C31" t="s">
        <v>369</v>
      </c>
    </row>
    <row r="32" spans="1:3" x14ac:dyDescent="0.25">
      <c r="A32" s="18" t="s">
        <v>370</v>
      </c>
      <c r="B32" s="18" t="s">
        <v>159</v>
      </c>
    </row>
    <row r="33" spans="1:3" x14ac:dyDescent="0.25">
      <c r="A33" s="18" t="s">
        <v>371</v>
      </c>
      <c r="B33" s="18" t="s">
        <v>160</v>
      </c>
    </row>
    <row r="34" spans="1:3" x14ac:dyDescent="0.25">
      <c r="A34" s="18" t="s">
        <v>372</v>
      </c>
      <c r="B34" s="18" t="s">
        <v>162</v>
      </c>
    </row>
    <row r="35" spans="1:3" x14ac:dyDescent="0.25">
      <c r="A35" s="18" t="s">
        <v>373</v>
      </c>
      <c r="B35" s="18" t="s">
        <v>163</v>
      </c>
    </row>
    <row r="36" spans="1:3" x14ac:dyDescent="0.25">
      <c r="A36" s="18" t="s">
        <v>374</v>
      </c>
      <c r="B36" s="18" t="s">
        <v>164</v>
      </c>
    </row>
    <row r="37" spans="1:3" x14ac:dyDescent="0.25">
      <c r="A37" s="18" t="s">
        <v>375</v>
      </c>
      <c r="B37" s="18" t="s">
        <v>165</v>
      </c>
    </row>
    <row r="38" spans="1:3" x14ac:dyDescent="0.25">
      <c r="A38" s="18" t="s">
        <v>376</v>
      </c>
      <c r="B38" s="18" t="s">
        <v>166</v>
      </c>
    </row>
    <row r="39" spans="1:3" x14ac:dyDescent="0.25">
      <c r="A39" s="18" t="s">
        <v>377</v>
      </c>
      <c r="B39" s="18" t="s">
        <v>167</v>
      </c>
    </row>
    <row r="40" spans="1:3" x14ac:dyDescent="0.25">
      <c r="A40" s="18" t="s">
        <v>378</v>
      </c>
      <c r="B40" s="18" t="s">
        <v>169</v>
      </c>
    </row>
    <row r="41" spans="1:3" x14ac:dyDescent="0.25">
      <c r="A41" s="18" t="s">
        <v>379</v>
      </c>
      <c r="B41" s="18" t="s">
        <v>380</v>
      </c>
      <c r="C41" t="s">
        <v>381</v>
      </c>
    </row>
    <row r="42" spans="1:3" x14ac:dyDescent="0.25">
      <c r="A42" s="18" t="s">
        <v>382</v>
      </c>
      <c r="B42" s="18" t="s">
        <v>161</v>
      </c>
    </row>
    <row r="43" spans="1:3" x14ac:dyDescent="0.25">
      <c r="A43" s="18" t="s">
        <v>383</v>
      </c>
      <c r="B43" s="18" t="s">
        <v>168</v>
      </c>
    </row>
    <row r="44" spans="1:3" x14ac:dyDescent="0.25">
      <c r="A44" s="18" t="s">
        <v>384</v>
      </c>
      <c r="B44" s="18" t="s">
        <v>170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Income Statement</vt:lpstr>
      <vt:lpstr>CC Detail</vt:lpstr>
      <vt:lpstr>Solar ROI</vt:lpstr>
      <vt:lpstr>Balances</vt:lpstr>
      <vt:lpstr>Comp &amp; Benefits</vt:lpstr>
      <vt:lpstr>Scenarios</vt:lpstr>
      <vt:lpstr>Charts</vt:lpstr>
      <vt:lpstr>Imports - Checking</vt:lpstr>
      <vt:lpstr>Imports - Savings</vt:lpstr>
      <vt:lpstr>Imports - Barclay</vt:lpstr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 Naughton</cp:lastModifiedBy>
  <dcterms:created xsi:type="dcterms:W3CDTF">2026-05-23T02:01:19Z</dcterms:created>
  <dcterms:modified xsi:type="dcterms:W3CDTF">2026-05-23T02:30:30Z</dcterms:modified>
</cp:coreProperties>
</file>